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165" windowWidth="9375" windowHeight="4380"/>
  </bookViews>
  <sheets>
    <sheet name="PERIODIC" sheetId="52" r:id="rId1"/>
    <sheet name="ROUTINE" sheetId="53" r:id="rId2"/>
    <sheet name="ROUTINE 2011" sheetId="54" r:id="rId3"/>
    <sheet name="ROUTINE 2012" sheetId="55" r:id="rId4"/>
  </sheets>
  <definedNames>
    <definedName name="_xlnm._FilterDatabase" localSheetId="0" hidden="1">PERIODIC!$A$5:$AD$144</definedName>
    <definedName name="_xlnm._FilterDatabase" localSheetId="1" hidden="1">ROUTINE!$A$5:$Q$342</definedName>
    <definedName name="_xlnm._FilterDatabase" localSheetId="2" hidden="1">'ROUTINE 2011'!$A$5:$Q$182</definedName>
    <definedName name="_xlnm._FilterDatabase" localSheetId="3" hidden="1">'ROUTINE 2012'!$A$5:$Q$282</definedName>
    <definedName name="_xlnm.Print_Area" localSheetId="0">PERIODIC!$A$1:$X$144</definedName>
    <definedName name="_xlnm.Print_Area" localSheetId="1">ROUTINE!$A$1:$O$429</definedName>
    <definedName name="_xlnm.Print_Area" localSheetId="2">'ROUTINE 2011'!$A$1:$O$182</definedName>
    <definedName name="_xlnm.Print_Area" localSheetId="3">'ROUTINE 2012'!$A$1:$O$282</definedName>
    <definedName name="_xlnm.Print_Titles" localSheetId="0">PERIODIC!$1:$3</definedName>
    <definedName name="_xlnm.Print_Titles" localSheetId="1">ROUTINE!$1:$7</definedName>
    <definedName name="_xlnm.Print_Titles" localSheetId="2">'ROUTINE 2011'!$1:$7</definedName>
    <definedName name="_xlnm.Print_Titles" localSheetId="3">'ROUTINE 2012'!$1:$7</definedName>
  </definedNames>
  <calcPr calcId="145621"/>
</workbook>
</file>

<file path=xl/calcChain.xml><?xml version="1.0" encoding="utf-8"?>
<calcChain xmlns="http://schemas.openxmlformats.org/spreadsheetml/2006/main">
  <c r="AF63" i="52" l="1"/>
  <c r="AE63" i="52" s="1"/>
  <c r="V63" i="52"/>
  <c r="U63" i="52"/>
  <c r="AF62" i="52"/>
  <c r="V62" i="52"/>
  <c r="U62" i="52"/>
  <c r="O62" i="52"/>
  <c r="M62" i="52"/>
  <c r="AF61" i="52"/>
  <c r="U61" i="52"/>
  <c r="O61" i="52"/>
  <c r="M61" i="52"/>
  <c r="AF60" i="52"/>
  <c r="U60" i="52"/>
  <c r="O60" i="52"/>
  <c r="AE60" i="52" s="1"/>
  <c r="M60" i="52"/>
  <c r="AF59" i="52"/>
  <c r="V59" i="52"/>
  <c r="U59" i="52"/>
  <c r="O59" i="52"/>
  <c r="M59" i="52"/>
  <c r="AF58" i="52"/>
  <c r="V58" i="52"/>
  <c r="U58" i="52"/>
  <c r="O58" i="52"/>
  <c r="M58" i="52"/>
  <c r="AF57" i="52"/>
  <c r="U57" i="52"/>
  <c r="O57" i="52"/>
  <c r="M57" i="52"/>
  <c r="AF56" i="52"/>
  <c r="AE56" i="52" s="1"/>
  <c r="V56" i="52"/>
  <c r="U56" i="52"/>
  <c r="AF55" i="52"/>
  <c r="U55" i="52"/>
  <c r="O55" i="52"/>
  <c r="AE55" i="52" s="1"/>
  <c r="M55" i="52"/>
  <c r="AF54" i="52"/>
  <c r="U54" i="52"/>
  <c r="O54" i="52"/>
  <c r="M54" i="52"/>
  <c r="AF53" i="52"/>
  <c r="U53" i="52"/>
  <c r="O53" i="52"/>
  <c r="AE53" i="52" s="1"/>
  <c r="M53" i="52"/>
  <c r="AF52" i="52"/>
  <c r="V52" i="52"/>
  <c r="U52" i="52"/>
  <c r="O52" i="52"/>
  <c r="M52" i="52"/>
  <c r="AF51" i="52"/>
  <c r="V51" i="52"/>
  <c r="U51" i="52"/>
  <c r="O51" i="52"/>
  <c r="M51" i="52"/>
  <c r="AF50" i="52"/>
  <c r="V50" i="52"/>
  <c r="U50" i="52"/>
  <c r="O50" i="52"/>
  <c r="M50" i="52"/>
  <c r="AF49" i="52"/>
  <c r="V49" i="52"/>
  <c r="U49" i="52"/>
  <c r="O49" i="52"/>
  <c r="M49" i="52"/>
  <c r="AF48" i="52"/>
  <c r="V48" i="52"/>
  <c r="U48" i="52"/>
  <c r="O48" i="52"/>
  <c r="M48" i="52"/>
  <c r="AF47" i="52"/>
  <c r="V47" i="52"/>
  <c r="U47" i="52"/>
  <c r="O47" i="52"/>
  <c r="M47" i="52"/>
  <c r="AF46" i="52"/>
  <c r="V46" i="52"/>
  <c r="U46" i="52"/>
  <c r="O46" i="52"/>
  <c r="M46" i="52"/>
  <c r="AF45" i="52"/>
  <c r="V45" i="52"/>
  <c r="U45" i="52"/>
  <c r="O45" i="52"/>
  <c r="M45" i="52"/>
  <c r="AF44" i="52"/>
  <c r="V44" i="52"/>
  <c r="U44" i="52"/>
  <c r="O44" i="52"/>
  <c r="M44" i="52"/>
  <c r="AF43" i="52"/>
  <c r="V43" i="52"/>
  <c r="U43" i="52"/>
  <c r="O43" i="52"/>
  <c r="M43" i="52"/>
  <c r="AF42" i="52"/>
  <c r="V42" i="52"/>
  <c r="U42" i="52"/>
  <c r="O42" i="52"/>
  <c r="M42" i="52"/>
  <c r="AF41" i="52"/>
  <c r="U41" i="52"/>
  <c r="O41" i="52"/>
  <c r="M41" i="52"/>
  <c r="AF40" i="52"/>
  <c r="U40" i="52"/>
  <c r="O40" i="52"/>
  <c r="M40" i="52"/>
  <c r="AF39" i="52"/>
  <c r="U39" i="52"/>
  <c r="O39" i="52"/>
  <c r="M39" i="52"/>
  <c r="AF38" i="52"/>
  <c r="U38" i="52"/>
  <c r="O38" i="52"/>
  <c r="M38" i="52"/>
  <c r="AF37" i="52"/>
  <c r="V37" i="52"/>
  <c r="U37" i="52"/>
  <c r="O37" i="52"/>
  <c r="M37" i="52"/>
  <c r="H37" i="52"/>
  <c r="AF36" i="52"/>
  <c r="V36" i="52"/>
  <c r="U36" i="52"/>
  <c r="O36" i="52"/>
  <c r="M36" i="52"/>
  <c r="AF35" i="52"/>
  <c r="U35" i="52"/>
  <c r="O35" i="52"/>
  <c r="AE35" i="52" s="1"/>
  <c r="M35" i="52"/>
  <c r="H35" i="52"/>
  <c r="AF34" i="52"/>
  <c r="V34" i="52"/>
  <c r="U34" i="52"/>
  <c r="O34" i="52"/>
  <c r="M34" i="52"/>
  <c r="H34" i="52"/>
  <c r="O33" i="52"/>
  <c r="M33" i="52"/>
  <c r="AF32" i="52"/>
  <c r="U32" i="52"/>
  <c r="O32" i="52"/>
  <c r="M32" i="52"/>
  <c r="H32" i="52"/>
  <c r="AF31" i="52"/>
  <c r="V31" i="52"/>
  <c r="U31" i="52"/>
  <c r="O31" i="52"/>
  <c r="M31" i="52"/>
  <c r="AF30" i="52"/>
  <c r="V30" i="52"/>
  <c r="U30" i="52"/>
  <c r="O30" i="52"/>
  <c r="M30" i="52"/>
  <c r="AF29" i="52"/>
  <c r="V29" i="52"/>
  <c r="U29" i="52"/>
  <c r="O29" i="52"/>
  <c r="M29" i="52"/>
  <c r="AF28" i="52"/>
  <c r="O28" i="52"/>
  <c r="M28" i="52"/>
  <c r="H28" i="52"/>
  <c r="AF27" i="52"/>
  <c r="V27" i="52"/>
  <c r="U27" i="52"/>
  <c r="O27" i="52"/>
  <c r="M27" i="52"/>
  <c r="AF26" i="52"/>
  <c r="V26" i="52"/>
  <c r="U26" i="52"/>
  <c r="O26" i="52"/>
  <c r="M26" i="52"/>
  <c r="H26" i="52"/>
  <c r="AF25" i="52"/>
  <c r="V25" i="52"/>
  <c r="U25" i="52"/>
  <c r="O25" i="52"/>
  <c r="M25" i="52"/>
  <c r="AF24" i="52"/>
  <c r="V24" i="52"/>
  <c r="U24" i="52"/>
  <c r="O24" i="52"/>
  <c r="M24" i="52"/>
  <c r="H24" i="52"/>
  <c r="AF23" i="52"/>
  <c r="U23" i="52"/>
  <c r="O23" i="52"/>
  <c r="M23" i="52"/>
  <c r="H23" i="52"/>
  <c r="AF22" i="52"/>
  <c r="V22" i="52"/>
  <c r="O22" i="52"/>
  <c r="M22" i="52"/>
  <c r="AF20" i="52"/>
  <c r="V20" i="52"/>
  <c r="U20" i="52"/>
  <c r="O20" i="52"/>
  <c r="M20" i="52"/>
  <c r="AF19" i="52"/>
  <c r="V19" i="52"/>
  <c r="U19" i="52"/>
  <c r="O19" i="52"/>
  <c r="M19" i="52"/>
  <c r="AF18" i="52"/>
  <c r="U18" i="52"/>
  <c r="O18" i="52"/>
  <c r="M18" i="52"/>
  <c r="V17" i="52"/>
  <c r="O17" i="52"/>
  <c r="M17" i="52"/>
  <c r="U16" i="52"/>
  <c r="O16" i="52"/>
  <c r="M16" i="52"/>
  <c r="V15" i="52"/>
  <c r="U15" i="52"/>
  <c r="O15" i="52"/>
  <c r="M15" i="52"/>
  <c r="V14" i="52"/>
  <c r="U14" i="52"/>
  <c r="O14" i="52"/>
  <c r="M14" i="52"/>
  <c r="V13" i="52"/>
  <c r="U13" i="52"/>
  <c r="O13" i="52"/>
  <c r="M13" i="52"/>
  <c r="AF12" i="52"/>
  <c r="V12" i="52"/>
  <c r="U12" i="52"/>
  <c r="O12" i="52"/>
  <c r="M12" i="52"/>
  <c r="V11" i="52"/>
  <c r="U11" i="52"/>
  <c r="O11" i="52"/>
  <c r="M11" i="52"/>
  <c r="AF10" i="52"/>
  <c r="AE10" i="52" s="1"/>
  <c r="V10" i="52"/>
  <c r="U10" i="52"/>
  <c r="V9" i="52"/>
  <c r="U9" i="52"/>
  <c r="S134" i="52"/>
  <c r="S131" i="52"/>
  <c r="S110" i="52"/>
  <c r="AE24" i="52" l="1"/>
  <c r="AE28" i="52"/>
  <c r="AE30" i="52"/>
  <c r="AE34" i="52"/>
  <c r="AE36" i="52"/>
  <c r="AE37" i="52"/>
  <c r="AE59" i="52"/>
  <c r="AE26" i="52"/>
  <c r="AE12" i="52"/>
  <c r="AE42" i="52"/>
  <c r="AE44" i="52"/>
  <c r="AE46" i="52"/>
  <c r="AE48" i="52"/>
  <c r="AE50" i="52"/>
  <c r="AE52" i="52"/>
  <c r="AE40" i="52"/>
  <c r="AE38" i="52"/>
  <c r="AE18" i="52"/>
  <c r="AE20" i="52"/>
  <c r="AE22" i="52"/>
  <c r="AE25" i="52"/>
  <c r="AE27" i="52"/>
  <c r="AE29" i="52"/>
  <c r="AE31" i="52"/>
  <c r="AE54" i="52"/>
  <c r="AE57" i="52"/>
  <c r="AE61" i="52"/>
  <c r="AE19" i="52"/>
  <c r="AE23" i="52"/>
  <c r="AE32" i="52"/>
  <c r="AE39" i="52"/>
  <c r="AE41" i="52"/>
  <c r="AE43" i="52"/>
  <c r="AE45" i="52"/>
  <c r="AE47" i="52"/>
  <c r="AE49" i="52"/>
  <c r="AE51" i="52"/>
  <c r="AE58" i="52"/>
  <c r="AE62" i="52"/>
  <c r="U77" i="52"/>
  <c r="U76" i="52"/>
  <c r="V77" i="52"/>
  <c r="U121" i="52"/>
  <c r="U120" i="52"/>
  <c r="O121" i="52"/>
  <c r="M121" i="52"/>
  <c r="V120" i="52"/>
  <c r="V121" i="52"/>
  <c r="D254" i="55"/>
  <c r="V76" i="52"/>
  <c r="D157" i="55"/>
  <c r="D151" i="55"/>
  <c r="D47" i="54"/>
  <c r="D11" i="55"/>
  <c r="D15" i="55"/>
  <c r="D18" i="55"/>
  <c r="D23" i="55"/>
  <c r="D30" i="55"/>
  <c r="D35" i="55"/>
  <c r="D41" i="55"/>
  <c r="D43" i="55"/>
  <c r="D45" i="55"/>
  <c r="D48" i="55"/>
  <c r="D53" i="55"/>
  <c r="D55" i="55"/>
  <c r="D57" i="55"/>
  <c r="D61" i="55"/>
  <c r="D65" i="55"/>
  <c r="D67" i="55"/>
  <c r="D70" i="55"/>
  <c r="D72" i="55"/>
  <c r="D74" i="55"/>
  <c r="D76" i="55"/>
  <c r="D78" i="55"/>
  <c r="D80" i="55"/>
  <c r="D85" i="55"/>
  <c r="D90" i="55"/>
  <c r="D94" i="55"/>
  <c r="D102" i="55"/>
  <c r="D106" i="55"/>
  <c r="D111" i="55"/>
  <c r="D114" i="55"/>
  <c r="D116" i="55"/>
  <c r="D121" i="55"/>
  <c r="D125" i="55"/>
  <c r="D131" i="55"/>
  <c r="D135" i="55"/>
  <c r="D139" i="55"/>
  <c r="D143" i="55"/>
  <c r="D162" i="55"/>
  <c r="D166" i="55"/>
  <c r="D171" i="55"/>
  <c r="D179" i="55"/>
  <c r="D181" i="55"/>
  <c r="D187" i="55"/>
  <c r="R188" i="55"/>
  <c r="R241" i="55" s="1"/>
  <c r="D191" i="55"/>
  <c r="D195" i="55"/>
  <c r="D199" i="55"/>
  <c r="D201" i="55"/>
  <c r="D207" i="55"/>
  <c r="D212" i="55"/>
  <c r="D217" i="55"/>
  <c r="D219" i="55"/>
  <c r="D222" i="55"/>
  <c r="D227" i="55"/>
  <c r="D230" i="55"/>
  <c r="D236" i="55"/>
  <c r="R237" i="55"/>
  <c r="D240" i="55"/>
  <c r="D243" i="55"/>
  <c r="R244" i="55"/>
  <c r="D246" i="55"/>
  <c r="R247" i="55"/>
  <c r="D249" i="55"/>
  <c r="R250" i="55"/>
  <c r="D256" i="55"/>
  <c r="R257" i="55"/>
  <c r="D261" i="55"/>
  <c r="D263" i="55"/>
  <c r="D267" i="55"/>
  <c r="D271" i="55"/>
  <c r="D276" i="55"/>
  <c r="D280" i="55"/>
  <c r="D282" i="55"/>
  <c r="D11" i="54"/>
  <c r="D15" i="54"/>
  <c r="D17" i="54"/>
  <c r="D20" i="54"/>
  <c r="D22" i="54"/>
  <c r="D24" i="54"/>
  <c r="D29" i="54"/>
  <c r="D32" i="54"/>
  <c r="D37" i="54"/>
  <c r="D42" i="54"/>
  <c r="D44" i="54"/>
  <c r="D50" i="54"/>
  <c r="D52" i="54"/>
  <c r="D55" i="54"/>
  <c r="D60" i="54"/>
  <c r="D64" i="54"/>
  <c r="D66" i="54"/>
  <c r="D68" i="54"/>
  <c r="D71" i="54"/>
  <c r="D73" i="54"/>
  <c r="D75" i="54"/>
  <c r="D77" i="54"/>
  <c r="D81" i="54"/>
  <c r="D84" i="54"/>
  <c r="D86" i="54"/>
  <c r="D90" i="54"/>
  <c r="D94" i="54"/>
  <c r="D97" i="54"/>
  <c r="D99" i="54"/>
  <c r="D104" i="54"/>
  <c r="D107" i="54"/>
  <c r="D109" i="54"/>
  <c r="D113" i="54"/>
  <c r="D115" i="54"/>
  <c r="D117" i="54"/>
  <c r="D120" i="54"/>
  <c r="D122" i="54"/>
  <c r="D127" i="54"/>
  <c r="D129" i="54"/>
  <c r="D137" i="54"/>
  <c r="R138" i="54"/>
  <c r="D139" i="54"/>
  <c r="D143" i="54"/>
  <c r="D149" i="54"/>
  <c r="R150" i="54"/>
  <c r="D152" i="54"/>
  <c r="R153" i="54"/>
  <c r="R170" i="54" s="1"/>
  <c r="D156" i="54"/>
  <c r="D161" i="54"/>
  <c r="D165" i="54"/>
  <c r="D167" i="54"/>
  <c r="R168" i="54"/>
  <c r="D169" i="54"/>
  <c r="D172" i="54"/>
  <c r="D175" i="54"/>
  <c r="D178" i="54"/>
  <c r="D182" i="54"/>
  <c r="D11" i="53"/>
  <c r="R12" i="53"/>
  <c r="D16" i="53"/>
  <c r="R17" i="53"/>
  <c r="D21" i="53"/>
  <c r="R22" i="53"/>
  <c r="D25" i="53"/>
  <c r="R26" i="53"/>
  <c r="D31" i="53"/>
  <c r="R32" i="53"/>
  <c r="D35" i="53"/>
  <c r="R36" i="53"/>
  <c r="D38" i="53"/>
  <c r="R39" i="53"/>
  <c r="D41" i="53"/>
  <c r="R42" i="53"/>
  <c r="D46" i="53"/>
  <c r="R47" i="53"/>
  <c r="D51" i="53"/>
  <c r="R52" i="53"/>
  <c r="D55" i="53"/>
  <c r="R56" i="53"/>
  <c r="D62" i="53"/>
  <c r="R63" i="53"/>
  <c r="D66" i="53"/>
  <c r="R67" i="53"/>
  <c r="D69" i="53"/>
  <c r="R70" i="53"/>
  <c r="D73" i="53"/>
  <c r="R74" i="53"/>
  <c r="D79" i="53"/>
  <c r="R80" i="53"/>
  <c r="D81" i="53"/>
  <c r="R82" i="53"/>
  <c r="D85" i="53"/>
  <c r="R86" i="53"/>
  <c r="D89" i="53"/>
  <c r="R90" i="53"/>
  <c r="D91" i="53"/>
  <c r="R92" i="53"/>
  <c r="D98" i="53"/>
  <c r="D105" i="53"/>
  <c r="D107" i="53"/>
  <c r="D113" i="53"/>
  <c r="D120" i="53"/>
  <c r="D122" i="53"/>
  <c r="D126" i="53"/>
  <c r="D131" i="53"/>
  <c r="D136" i="53"/>
  <c r="D138" i="53"/>
  <c r="D142" i="53"/>
  <c r="D146" i="53"/>
  <c r="D149" i="53"/>
  <c r="D154" i="53"/>
  <c r="D160" i="53"/>
  <c r="D166" i="53"/>
  <c r="D172" i="53"/>
  <c r="D177" i="53"/>
  <c r="D183" i="53"/>
  <c r="D187" i="53"/>
  <c r="D191" i="53"/>
  <c r="D196" i="53"/>
  <c r="D202" i="53"/>
  <c r="D206" i="53"/>
  <c r="D208" i="53"/>
  <c r="D211" i="53"/>
  <c r="D216" i="53"/>
  <c r="D221" i="53"/>
  <c r="D227" i="53"/>
  <c r="D230" i="53"/>
  <c r="D240" i="53"/>
  <c r="D244" i="53"/>
  <c r="D249" i="53"/>
  <c r="D257" i="53"/>
  <c r="D263" i="53"/>
  <c r="D269" i="53"/>
  <c r="D273" i="53"/>
  <c r="D282" i="53"/>
  <c r="D289" i="53"/>
  <c r="D292" i="53"/>
  <c r="D300" i="53"/>
  <c r="D305" i="53"/>
  <c r="D306" i="53"/>
  <c r="D307" i="53"/>
  <c r="D308" i="53"/>
  <c r="D309" i="53"/>
  <c r="D310" i="53"/>
  <c r="D311" i="53"/>
  <c r="D313" i="53"/>
  <c r="D315" i="53"/>
  <c r="D317" i="53"/>
  <c r="D322" i="53"/>
  <c r="D328" i="53"/>
  <c r="D330" i="53"/>
  <c r="D332" i="53"/>
  <c r="D334" i="53"/>
  <c r="D336" i="53"/>
  <c r="D338" i="53"/>
  <c r="D340" i="53"/>
  <c r="D342" i="53"/>
  <c r="D344" i="53"/>
  <c r="D346" i="53"/>
  <c r="D348" i="53"/>
  <c r="D351" i="53"/>
  <c r="D353" i="53"/>
  <c r="D355" i="53"/>
  <c r="D357" i="53"/>
  <c r="D359" i="53"/>
  <c r="D361" i="53"/>
  <c r="D363" i="53"/>
  <c r="D367" i="53"/>
  <c r="D369" i="53"/>
  <c r="D371" i="53"/>
  <c r="D374" i="53"/>
  <c r="D377" i="53"/>
  <c r="D379" i="53"/>
  <c r="D381" i="53"/>
  <c r="D383" i="53"/>
  <c r="D385" i="53"/>
  <c r="D387" i="53"/>
  <c r="D389" i="53"/>
  <c r="D391" i="53"/>
  <c r="D393" i="53"/>
  <c r="D396" i="53"/>
  <c r="D398" i="53"/>
  <c r="D400" i="53"/>
  <c r="D402" i="53"/>
  <c r="D404" i="53"/>
  <c r="D406" i="53"/>
  <c r="D408" i="53"/>
  <c r="D414" i="53"/>
  <c r="D416" i="53"/>
  <c r="D418" i="53"/>
  <c r="D421" i="53"/>
  <c r="D423" i="53"/>
  <c r="D425" i="53"/>
  <c r="D429" i="53"/>
  <c r="M65" i="52"/>
  <c r="O65" i="52"/>
  <c r="U65" i="52"/>
  <c r="V65" i="52"/>
  <c r="M66" i="52"/>
  <c r="O66" i="52"/>
  <c r="U66" i="52"/>
  <c r="V66" i="52"/>
  <c r="AD66" i="52"/>
  <c r="M67" i="52"/>
  <c r="O67" i="52"/>
  <c r="V67" i="52"/>
  <c r="AD67" i="52"/>
  <c r="M68" i="52"/>
  <c r="O68" i="52"/>
  <c r="V68" i="52"/>
  <c r="AD68" i="52"/>
  <c r="M69" i="52"/>
  <c r="O69" i="52"/>
  <c r="S69" i="52"/>
  <c r="U69" i="52" s="1"/>
  <c r="AD69" i="52"/>
  <c r="M70" i="52"/>
  <c r="O70" i="52"/>
  <c r="V70" i="52"/>
  <c r="AD70" i="52"/>
  <c r="AC70" i="52" s="1"/>
  <c r="M71" i="52"/>
  <c r="O71" i="52"/>
  <c r="V71" i="52"/>
  <c r="AD71" i="52"/>
  <c r="AC71" i="52" s="1"/>
  <c r="M73" i="52"/>
  <c r="O73" i="52"/>
  <c r="V73" i="52"/>
  <c r="AD73" i="52"/>
  <c r="M74" i="52"/>
  <c r="O74" i="52"/>
  <c r="U74" i="52"/>
  <c r="V74" i="52"/>
  <c r="AD74" i="52"/>
  <c r="M75" i="52"/>
  <c r="O75" i="52"/>
  <c r="V75" i="52"/>
  <c r="AD75" i="52"/>
  <c r="AC75" i="52" s="1"/>
  <c r="M76" i="52"/>
  <c r="O76" i="52"/>
  <c r="AD76" i="52"/>
  <c r="M77" i="52"/>
  <c r="O77" i="52"/>
  <c r="AD77" i="52"/>
  <c r="M79" i="52"/>
  <c r="O79" i="52"/>
  <c r="V79" i="52"/>
  <c r="AD79" i="52"/>
  <c r="AC79" i="52" s="1"/>
  <c r="M80" i="52"/>
  <c r="O80" i="52"/>
  <c r="V80" i="52"/>
  <c r="AD80" i="52"/>
  <c r="M81" i="52"/>
  <c r="O81" i="52"/>
  <c r="V81" i="52"/>
  <c r="AD81" i="52"/>
  <c r="M82" i="52"/>
  <c r="O82" i="52"/>
  <c r="AD82" i="52"/>
  <c r="M83" i="52"/>
  <c r="O83" i="52"/>
  <c r="V83" i="52"/>
  <c r="AD83" i="52"/>
  <c r="AC83" i="52" s="1"/>
  <c r="M84" i="52"/>
  <c r="O84" i="52"/>
  <c r="V84" i="52"/>
  <c r="AD84" i="52"/>
  <c r="AC84" i="52" s="1"/>
  <c r="M85" i="52"/>
  <c r="O85" i="52"/>
  <c r="V85" i="52"/>
  <c r="AD85" i="52"/>
  <c r="M86" i="52"/>
  <c r="O86" i="52"/>
  <c r="V86" i="52"/>
  <c r="AD86" i="52"/>
  <c r="AC86" i="52" s="1"/>
  <c r="M87" i="52"/>
  <c r="O87" i="52"/>
  <c r="V87" i="52"/>
  <c r="AD87" i="52"/>
  <c r="AC87" i="52" s="1"/>
  <c r="M88" i="52"/>
  <c r="O88" i="52"/>
  <c r="AD88" i="52"/>
  <c r="M89" i="52"/>
  <c r="O89" i="52"/>
  <c r="V89" i="52"/>
  <c r="AD89" i="52"/>
  <c r="AC89" i="52" s="1"/>
  <c r="M90" i="52"/>
  <c r="O90" i="52"/>
  <c r="V90" i="52"/>
  <c r="AD90" i="52"/>
  <c r="AC90" i="52" s="1"/>
  <c r="M91" i="52"/>
  <c r="O91" i="52"/>
  <c r="V91" i="52"/>
  <c r="AD91" i="52"/>
  <c r="AC91" i="52" s="1"/>
  <c r="R93" i="52"/>
  <c r="S93" i="52"/>
  <c r="R94" i="52"/>
  <c r="S94" i="52"/>
  <c r="R95" i="52"/>
  <c r="S95" i="52"/>
  <c r="R96" i="52"/>
  <c r="S96" i="52"/>
  <c r="R97" i="52"/>
  <c r="S97" i="52"/>
  <c r="R98" i="52"/>
  <c r="S98" i="52"/>
  <c r="R99" i="52"/>
  <c r="S99" i="52"/>
  <c r="R100" i="52"/>
  <c r="S100" i="52"/>
  <c r="R101" i="52"/>
  <c r="S101" i="52"/>
  <c r="M103" i="52"/>
  <c r="O103" i="52"/>
  <c r="U103" i="52"/>
  <c r="V103" i="52"/>
  <c r="AD103" i="52"/>
  <c r="M104" i="52"/>
  <c r="O104" i="52"/>
  <c r="U104" i="52"/>
  <c r="V104" i="52"/>
  <c r="AD104" i="52"/>
  <c r="M105" i="52"/>
  <c r="O105" i="52"/>
  <c r="AD105" i="52"/>
  <c r="M107" i="52"/>
  <c r="O107" i="52"/>
  <c r="U107" i="52"/>
  <c r="V107" i="52"/>
  <c r="AD107" i="52"/>
  <c r="M108" i="52"/>
  <c r="O108" i="52"/>
  <c r="U108" i="52"/>
  <c r="V108" i="52"/>
  <c r="AD108" i="52"/>
  <c r="M109" i="52"/>
  <c r="O109" i="52"/>
  <c r="U109" i="52"/>
  <c r="V109" i="52"/>
  <c r="AD109" i="52"/>
  <c r="M110" i="52"/>
  <c r="O110" i="52"/>
  <c r="U110" i="52"/>
  <c r="V110" i="52"/>
  <c r="AD110" i="52"/>
  <c r="M111" i="52"/>
  <c r="O111" i="52"/>
  <c r="U111" i="52"/>
  <c r="V111" i="52"/>
  <c r="AD111" i="52"/>
  <c r="M112" i="52"/>
  <c r="O112" i="52"/>
  <c r="U112" i="52"/>
  <c r="V112" i="52"/>
  <c r="AD112" i="52"/>
  <c r="M113" i="52"/>
  <c r="O113" i="52"/>
  <c r="U113" i="52"/>
  <c r="V113" i="52"/>
  <c r="AD113" i="52"/>
  <c r="M114" i="52"/>
  <c r="O114" i="52"/>
  <c r="U114" i="52"/>
  <c r="V114" i="52"/>
  <c r="AD114" i="52"/>
  <c r="M115" i="52"/>
  <c r="O115" i="52"/>
  <c r="U115" i="52"/>
  <c r="V115" i="52"/>
  <c r="AD115" i="52"/>
  <c r="M116" i="52"/>
  <c r="O116" i="52"/>
  <c r="U116" i="52"/>
  <c r="V116" i="52"/>
  <c r="AD116" i="52"/>
  <c r="M117" i="52"/>
  <c r="O117" i="52"/>
  <c r="U117" i="52"/>
  <c r="V117" i="52"/>
  <c r="AD117" i="52"/>
  <c r="M118" i="52"/>
  <c r="O118" i="52"/>
  <c r="V118" i="52"/>
  <c r="M119" i="52"/>
  <c r="O119" i="52"/>
  <c r="U119" i="52"/>
  <c r="V119" i="52"/>
  <c r="AD119" i="52"/>
  <c r="M120" i="52"/>
  <c r="O120" i="52"/>
  <c r="AD120" i="52"/>
  <c r="AD121" i="52"/>
  <c r="M123" i="52"/>
  <c r="O123" i="52"/>
  <c r="V123" i="52"/>
  <c r="M124" i="52"/>
  <c r="O124" i="52"/>
  <c r="V124" i="52"/>
  <c r="U125" i="52"/>
  <c r="V125" i="52"/>
  <c r="AD125" i="52"/>
  <c r="AC125" i="52" s="1"/>
  <c r="M126" i="52"/>
  <c r="O126" i="52"/>
  <c r="V126" i="52"/>
  <c r="AD126" i="52"/>
  <c r="AC126" i="52" s="1"/>
  <c r="M127" i="52"/>
  <c r="O127" i="52"/>
  <c r="U127" i="52"/>
  <c r="V127" i="52"/>
  <c r="AD127" i="52"/>
  <c r="M129" i="52"/>
  <c r="O129" i="52"/>
  <c r="U129" i="52"/>
  <c r="V129" i="52"/>
  <c r="AD129" i="52"/>
  <c r="M130" i="52"/>
  <c r="O130" i="52"/>
  <c r="U130" i="52"/>
  <c r="V130" i="52"/>
  <c r="AD130" i="52"/>
  <c r="M131" i="52"/>
  <c r="O131" i="52"/>
  <c r="U131" i="52"/>
  <c r="V131" i="52"/>
  <c r="AD131" i="52"/>
  <c r="M132" i="52"/>
  <c r="O132" i="52"/>
  <c r="U132" i="52"/>
  <c r="V132" i="52"/>
  <c r="AD132" i="52"/>
  <c r="M134" i="52"/>
  <c r="O134" i="52"/>
  <c r="U134" i="52"/>
  <c r="V134" i="52"/>
  <c r="AD134" i="52"/>
  <c r="M135" i="52"/>
  <c r="O135" i="52"/>
  <c r="U135" i="52"/>
  <c r="V135" i="52"/>
  <c r="AD135" i="52"/>
  <c r="M136" i="52"/>
  <c r="O136" i="52"/>
  <c r="U136" i="52"/>
  <c r="V136" i="52"/>
  <c r="AD136" i="52"/>
  <c r="M138" i="52"/>
  <c r="O138" i="52"/>
  <c r="V138" i="52"/>
  <c r="AD138" i="52"/>
  <c r="AC138" i="52" s="1"/>
  <c r="M139" i="52"/>
  <c r="O139" i="52"/>
  <c r="V139" i="52"/>
  <c r="AD139" i="52"/>
  <c r="AC139" i="52" s="1"/>
  <c r="M140" i="52"/>
  <c r="O140" i="52"/>
  <c r="V140" i="52"/>
  <c r="AD140" i="52"/>
  <c r="AC140" i="52" s="1"/>
  <c r="M141" i="52"/>
  <c r="O141" i="52"/>
  <c r="U141" i="52"/>
  <c r="V141" i="52"/>
  <c r="AD141" i="52"/>
  <c r="M142" i="52"/>
  <c r="O142" i="52"/>
  <c r="V142" i="52"/>
  <c r="AD142" i="52"/>
  <c r="AC142" i="52" s="1"/>
  <c r="M143" i="52"/>
  <c r="O143" i="52"/>
  <c r="V143" i="52"/>
  <c r="AD143" i="52"/>
  <c r="AC143" i="52" s="1"/>
  <c r="M144" i="52"/>
  <c r="O144" i="52"/>
  <c r="V144" i="52"/>
  <c r="AD144" i="52"/>
  <c r="AC144" i="52" s="1"/>
  <c r="AC88" i="52" l="1"/>
  <c r="AC136" i="52"/>
  <c r="AC134" i="52"/>
  <c r="AC131" i="52"/>
  <c r="AC129" i="52"/>
  <c r="AC121" i="52"/>
  <c r="AC119" i="52"/>
  <c r="AC117" i="52"/>
  <c r="AC115" i="52"/>
  <c r="AC113" i="52"/>
  <c r="AC111" i="52"/>
  <c r="AC109" i="52"/>
  <c r="AC107" i="52"/>
  <c r="AC104" i="52"/>
  <c r="AC85" i="52"/>
  <c r="AC81" i="52"/>
  <c r="AC77" i="52"/>
  <c r="AC66" i="52"/>
  <c r="R173" i="54"/>
  <c r="R176" i="54" s="1"/>
  <c r="R179" i="54" s="1"/>
  <c r="AC141" i="52"/>
  <c r="AC135" i="52"/>
  <c r="AC132" i="52"/>
  <c r="AC130" i="52"/>
  <c r="AC127" i="52"/>
  <c r="AC120" i="52"/>
  <c r="AC116" i="52"/>
  <c r="AC114" i="52"/>
  <c r="AC112" i="52"/>
  <c r="AC110" i="52"/>
  <c r="AC108" i="52"/>
  <c r="AC105" i="52"/>
  <c r="AC103" i="52"/>
  <c r="AC82" i="52"/>
  <c r="AC80" i="52"/>
  <c r="AC76" i="52"/>
</calcChain>
</file>

<file path=xl/comments1.xml><?xml version="1.0" encoding="utf-8"?>
<comments xmlns="http://schemas.openxmlformats.org/spreadsheetml/2006/main">
  <authors>
    <author>CR3</author>
  </authors>
  <commentList>
    <comment ref="H5" authorId="0">
      <text>
        <r>
          <rPr>
            <b/>
            <sz val="8"/>
            <color indexed="81"/>
            <rFont val="Tahoma"/>
            <family val="2"/>
          </rPr>
          <t>CR3: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>
  <authors>
    <author>CR3</author>
  </authors>
  <commentList>
    <comment ref="D5" authorId="0">
      <text>
        <r>
          <rPr>
            <b/>
            <sz val="8"/>
            <color indexed="81"/>
            <rFont val="Tahoma"/>
            <family val="2"/>
          </rPr>
          <t>CR3: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>
  <authors>
    <author>CR3</author>
  </authors>
  <commentList>
    <comment ref="D5" authorId="0">
      <text>
        <r>
          <rPr>
            <b/>
            <sz val="8"/>
            <color indexed="81"/>
            <rFont val="Tahoma"/>
            <family val="2"/>
          </rPr>
          <t>CR3: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>
  <authors>
    <author>CR3</author>
  </authors>
  <commentList>
    <comment ref="D5" authorId="0">
      <text>
        <r>
          <rPr>
            <b/>
            <sz val="8"/>
            <color indexed="81"/>
            <rFont val="Tahoma"/>
            <family val="2"/>
          </rPr>
          <t>CR3: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<sst xmlns="http://schemas.openxmlformats.org/spreadsheetml/2006/main" count="4507" uniqueCount="2380">
  <si>
    <r>
      <t>Clearing,444m of 450x450x120mm U-drain,2№</t>
    </r>
    <r>
      <rPr>
        <sz val="9"/>
        <rFont val="Arial"/>
        <family val="2"/>
      </rPr>
      <t xml:space="preserve"> </t>
    </r>
    <r>
      <rPr>
        <sz val="12"/>
        <rFont val="Arial"/>
        <family val="2"/>
      </rPr>
      <t>1250x1800mm U-culvert,100m Conc. Kerbs,5.0km of sub-base,4.5km base and 2.0km primer seal completed.</t>
    </r>
  </si>
  <si>
    <t>ABURANSA - KAFODZIDZI</t>
  </si>
  <si>
    <t xml:space="preserve"> </t>
  </si>
  <si>
    <t>DFR/CR/SI/GOG/PQ/08/11</t>
  </si>
  <si>
    <t>Clearing and Blading completed</t>
  </si>
  <si>
    <t>DFR/CR/SURF/IDA/2005/1</t>
  </si>
  <si>
    <t>Abrem Agona - Adama</t>
  </si>
  <si>
    <t>13.95km of Grass Cutting and Reshaping completed</t>
  </si>
  <si>
    <t>DFR/CR/SURF/COCOA/02/2007</t>
  </si>
  <si>
    <t>DFR/CR/UDE/RESH/GOG/21/11</t>
  </si>
  <si>
    <t>CHAPESS CONGA JN - GOMOA MAMPONG</t>
  </si>
  <si>
    <t>ESSIWUKWA - GOMOA NYANSAKYERE JN</t>
  </si>
  <si>
    <t>18.65km of Grass Cutting and Reshaping completed</t>
  </si>
  <si>
    <t xml:space="preserve">COCOBOD/CRIP </t>
  </si>
  <si>
    <t>DUTCH/GOG</t>
  </si>
  <si>
    <t>CONSOLIDATED FUND</t>
  </si>
  <si>
    <t xml:space="preserve">IDA/TSP </t>
  </si>
  <si>
    <t>ROAD FUND/LABOUR BASED</t>
  </si>
  <si>
    <t>JICA/DCRIP</t>
  </si>
  <si>
    <t>500m of 450x450x120mm  &amp; 80m of 600x600x150mm Conc U-drains,1№ 900x1200mm U-culverts completed</t>
  </si>
  <si>
    <t>Work completed. 50% of Retention released on 25/06/12</t>
  </si>
  <si>
    <t>Olicks Ltd.</t>
  </si>
  <si>
    <t>ATEKYEM - BESEASE JN &amp; OTHER</t>
  </si>
  <si>
    <t>ATEKYEM - BESEASE JN</t>
  </si>
  <si>
    <t>ATEKYEM - MPRAKOKROM</t>
  </si>
  <si>
    <t>DFR/CR/KEEA/RESH/GOG/1/12</t>
  </si>
  <si>
    <t>Cliffstons Co. Ltd.</t>
  </si>
  <si>
    <t>DFR/CR/KEEA/RESH/GOG/2/12</t>
  </si>
  <si>
    <t>LAST STOP - APONSAHSO</t>
  </si>
  <si>
    <t>BREMANG - ANTIFILICIA</t>
  </si>
  <si>
    <t>KOMENDA SEFWI - KROFOKROM &amp; OTHERS</t>
  </si>
  <si>
    <t>KOMENDA SEFWI - KROFOKROM</t>
  </si>
  <si>
    <t>ANWIOM JN - BEPOSO</t>
  </si>
  <si>
    <t>DOMENASE - DUAKYIMASE</t>
  </si>
  <si>
    <t>Wam Hills Ent.</t>
  </si>
  <si>
    <t>DFR/CR/KEEA/RESH/GOG/3/12</t>
  </si>
  <si>
    <t>CR-UED-A-011</t>
  </si>
  <si>
    <t>OSIMPO - AKRAMAN</t>
  </si>
  <si>
    <t>MFADWEN JN - BONTRASE</t>
  </si>
  <si>
    <t>OBUASE - BENTUM</t>
  </si>
  <si>
    <t>DFR/CR/AWS/RESH/GOG/24/12</t>
  </si>
  <si>
    <t>FIANKO - OFAADA &amp; OTHERS</t>
  </si>
  <si>
    <t>FIANKO - OFAADA</t>
  </si>
  <si>
    <t>CR-AES-C-006</t>
  </si>
  <si>
    <t xml:space="preserve">MMOFRAKROM JN - MMOFRAKROM </t>
  </si>
  <si>
    <t xml:space="preserve">DANKWA JN - DANKWA </t>
  </si>
  <si>
    <t>CR-AES-I-007</t>
  </si>
  <si>
    <t>AKOMFUAKURA - OFAADA</t>
  </si>
  <si>
    <t>OKWABENA - OFASO</t>
  </si>
  <si>
    <t>AKOMFUAKURA - OFASO JN</t>
  </si>
  <si>
    <t>TOPIASE JN - ABONKWANTA</t>
  </si>
  <si>
    <t>DFR/CR/AWS/RESH/GOG/26/12</t>
  </si>
  <si>
    <t>Leads Co. Ltd.</t>
  </si>
  <si>
    <t>DFR/CR/MFA/RESH/GOG/28/12</t>
  </si>
  <si>
    <t>Unkar Ltd.</t>
  </si>
  <si>
    <t>ABOR JN - ENYAN APAA &amp; OTHER</t>
  </si>
  <si>
    <t>ABOR JN - ENYAN APAA</t>
  </si>
  <si>
    <t>CR-MFA-I-017</t>
  </si>
  <si>
    <t>AMPREFI JN - BEWURA</t>
  </si>
  <si>
    <t>P-Clicks Services</t>
  </si>
  <si>
    <t>BAIFIKROM - DOMINASE</t>
  </si>
  <si>
    <t>BAIFIKROM - DOMINASE &amp; OTHERS</t>
  </si>
  <si>
    <t>ESHIROW JN - ESHIROW JN</t>
  </si>
  <si>
    <t>DUADZE - KWESILANSAH</t>
  </si>
  <si>
    <t>Minak Investment Co. Ltd.</t>
  </si>
  <si>
    <t>Odumasi - Wurakese Station</t>
  </si>
  <si>
    <t>CR-AAK-A-001</t>
  </si>
  <si>
    <t>CR-AAK-A-002</t>
  </si>
  <si>
    <t>JUKWA - ACHIASE</t>
  </si>
  <si>
    <t>878m 450x450mm U-drain,4№ 900x1200mm U-Culvert completed.</t>
  </si>
  <si>
    <t>ACTUAL COMPLETION DATE</t>
  </si>
  <si>
    <t>JUKWA - AMANASE</t>
  </si>
  <si>
    <t>JUKWA - WATRESO</t>
  </si>
  <si>
    <t>NYAMEANI JN - NYAMEANI</t>
  </si>
  <si>
    <t>TOTAL AMOUNT CERTIFIED</t>
  </si>
  <si>
    <t>AMISSAH - ONWE</t>
  </si>
  <si>
    <t>CR-UED-A-024</t>
  </si>
  <si>
    <t>CR-UED-C-013</t>
  </si>
  <si>
    <t>Shalicoma Ltd.</t>
  </si>
  <si>
    <t>DFR/CR/UDE/RESH/GOG/20/11</t>
  </si>
  <si>
    <t>ASIKUMA - AYANFURI &amp; OTHER</t>
  </si>
  <si>
    <t>AGONA POT - AMOAMAN</t>
  </si>
  <si>
    <t>DFR/CR/CC/RESH/GOG/36/10</t>
  </si>
  <si>
    <t xml:space="preserve"> 3No.700mm x900mm completed.</t>
  </si>
  <si>
    <t>CR-ASS-A-030</t>
  </si>
  <si>
    <t>B. K. Nsiah Co. Ltd.</t>
  </si>
  <si>
    <t>CR-UED-C-007</t>
  </si>
  <si>
    <t>DFR/CR/UDW/RESH/GOG/12/11</t>
  </si>
  <si>
    <t>ZION № 2 - OBRAYEKO</t>
  </si>
  <si>
    <t>ZION CAMP - ZION № 2</t>
  </si>
  <si>
    <t>ZION № 2 - OBRAYEKO &amp; OTHER</t>
  </si>
  <si>
    <t>CR-UED-C-014</t>
  </si>
  <si>
    <t>CR-UED-A-060</t>
  </si>
  <si>
    <t>CR-LDE-C-027</t>
  </si>
  <si>
    <t>CR-ASI-I-005</t>
  </si>
  <si>
    <t>AGENCY</t>
  </si>
  <si>
    <t>REGION</t>
  </si>
  <si>
    <t>AWARD - START</t>
  </si>
  <si>
    <t>START - COMP.</t>
  </si>
  <si>
    <t>NO. OF CULVERTS</t>
  </si>
  <si>
    <t>OUTSTANDING</t>
  </si>
  <si>
    <t>CENTRAL</t>
  </si>
  <si>
    <t>DFR</t>
  </si>
  <si>
    <t>WORK DONE</t>
  </si>
  <si>
    <t>9.0km of Grass Cutting and Reshaping completed</t>
  </si>
  <si>
    <t>JUKWA - ACHIASE &amp; OTHERS</t>
  </si>
  <si>
    <t>GYEMPOHKROM JN - GYEMPOHKROM &amp; OTHERS</t>
  </si>
  <si>
    <t xml:space="preserve">16No 700x900mm,4No 900x1200mm,1No  2/900x1200mm,1No  1250x1800mm U- culvert ,160m 600x600x150mm Conc U-drainscompleted. </t>
  </si>
  <si>
    <t>DFR/CR/UDE/RESH/GOG/41/11</t>
  </si>
  <si>
    <t>Jasima Co. Ltd.</t>
  </si>
  <si>
    <t>DFR/CR/UDE/RESH/GOG/42/11</t>
  </si>
  <si>
    <t>DUNKWA - NKOTOMSO</t>
  </si>
  <si>
    <t>Sedben Investment</t>
  </si>
  <si>
    <t>DFR/CR/AN/RESH/GOG/45/11</t>
  </si>
  <si>
    <t>AKYIANO - ARMAH CAMP</t>
  </si>
  <si>
    <t>CR-ASN-A-052</t>
  </si>
  <si>
    <t>CR-ASN-A-037</t>
  </si>
  <si>
    <t>CR-LDE-C-046</t>
  </si>
  <si>
    <t>Kyekyewere-Kumakrom F/R PH 2</t>
  </si>
  <si>
    <t>GOMOA ESHIEM - GOMOA APPIAKROM DEBISO</t>
  </si>
  <si>
    <t>ABEADZE JN - ABEADZE</t>
  </si>
  <si>
    <t>GOMOA BROFO - AGYATEME JN</t>
  </si>
  <si>
    <t>GOMOA AKROPONG JN - GOMOA AKROPONG</t>
  </si>
  <si>
    <t>ASSIN ASIBIRIM - ODUMASE &amp; OTHER</t>
  </si>
  <si>
    <t>ASSIN ASIBIRIM - ODUMASE</t>
  </si>
  <si>
    <t>ASSIN ASIBIRIM - OBIRIKWAKU</t>
  </si>
  <si>
    <t>CR-ASN-A-021</t>
  </si>
  <si>
    <t>Groca Co. Ltd.</t>
  </si>
  <si>
    <t>DFR/CR/AS/RESH/GOG/17/12</t>
  </si>
  <si>
    <t>ATEITU - WINNEBA &amp; OTHERS</t>
  </si>
  <si>
    <t>NDUEM - LOME &amp; OTHERS</t>
  </si>
  <si>
    <t>NDUEM - LOME</t>
  </si>
  <si>
    <t>ACHIASE - DAHOME</t>
  </si>
  <si>
    <t>EKWAMKROM - MANSO</t>
  </si>
  <si>
    <t>Pekofos Ltd.</t>
  </si>
  <si>
    <t>Tiboura-Taa Ltd.</t>
  </si>
  <si>
    <t>Grasscutting</t>
  </si>
  <si>
    <t>FRAMASE JN - TUMFUKOR</t>
  </si>
  <si>
    <t>Lilyboat Ltd.</t>
  </si>
  <si>
    <t>Japan Bridge - Appoliningo</t>
  </si>
  <si>
    <t>ASIKUMA - AKWABOA Ph1</t>
  </si>
  <si>
    <t>Dakal Const. Wks</t>
  </si>
  <si>
    <t>DFR/CR/UDE/RESH/GOG/18/11</t>
  </si>
  <si>
    <t>AYAASE - KRUWA PH 1</t>
  </si>
  <si>
    <t>AYAASE - KRUWA PH 2</t>
  </si>
  <si>
    <t>J.E.A. Aggrey &amp; Sons Ltd.</t>
  </si>
  <si>
    <t>DFR/CR/AS/RESH/GOG/6/11</t>
  </si>
  <si>
    <t>AGONA POT - AMOAMAN PH 2</t>
  </si>
  <si>
    <t>9.8km of Grass Cutting and Reshaping completed</t>
  </si>
  <si>
    <t>Work is satisfactory</t>
  </si>
  <si>
    <t>COCOA</t>
  </si>
  <si>
    <t>DFR/CR/THLD/CFRIP PHII/SURF/7/11</t>
  </si>
  <si>
    <t xml:space="preserve">Praso-Bimponagya - Bimponso F/R </t>
  </si>
  <si>
    <t>Mode Ent. Ltd.</t>
  </si>
  <si>
    <t>CONST. OF 2/1800X1800mm on PAASO - NYAMEBEKYERE</t>
  </si>
  <si>
    <t>CR-GOM-C-006</t>
  </si>
  <si>
    <t>CR-GOM-C-014</t>
  </si>
  <si>
    <t>CR-MFA-I-028</t>
  </si>
  <si>
    <t>CR-ASS-A-008</t>
  </si>
  <si>
    <t>DFR/CR/AAK/RESH/GOG/46/12</t>
  </si>
  <si>
    <t>Asim Links Investment Ltd.</t>
  </si>
  <si>
    <t>AGONA POT - AMOAMAN PH 1</t>
  </si>
  <si>
    <t>Fasaan Ent. Ltd.</t>
  </si>
  <si>
    <t>DFR/CR/UDW/RESH/GOG/11/11</t>
  </si>
  <si>
    <t>21.3km of Grass Cutting and Reshaping completed</t>
  </si>
  <si>
    <t>Antem Jn - Antem</t>
  </si>
  <si>
    <t>Ntontonso Jn - Ntontonso</t>
  </si>
  <si>
    <t>DFR/CR/SURF/HIPC/08/1</t>
  </si>
  <si>
    <t>T&amp;A Everest Co. Ltd.</t>
  </si>
  <si>
    <t>Simpa - Ohuam</t>
  </si>
  <si>
    <t>DFR/CR/SURF/CRIP/PH3/08/1</t>
  </si>
  <si>
    <t>Clearing and formation,2№ 700X900mm,595m 450x450x120mm Concrete U drains,2.2km sub-base completed</t>
  </si>
  <si>
    <t>Dankwa Jn - Dankwa</t>
  </si>
  <si>
    <t>Ofaso - Konkokura</t>
  </si>
  <si>
    <t>Sikanbodua Jn - Sikanbodua</t>
  </si>
  <si>
    <t>11.35km of Grass Cutting  completed</t>
  </si>
  <si>
    <t xml:space="preserve">Steel Bridge on River Naakwa-Otchi on Ajumako-Abeadzi-Gomoa </t>
  </si>
  <si>
    <t>Steel Bridge on River Asunsu on Krofofordo Jn-Krofofordo and River Nuanua on Nuanua-Bunso</t>
  </si>
  <si>
    <t>Bo Const. Ent. Ltd.</t>
  </si>
  <si>
    <t>5.6km of Grass Cutting  completed</t>
  </si>
  <si>
    <t>CR-CCP-I-006</t>
  </si>
  <si>
    <t>CR-CCP-A-002</t>
  </si>
  <si>
    <t>CR-CCP-A-001</t>
  </si>
  <si>
    <t>CR-CCP-A-008</t>
  </si>
  <si>
    <t>CR-MFA-C-046</t>
  </si>
  <si>
    <t>CR-MFA-C-048</t>
  </si>
  <si>
    <t>CR-MFA-C-049</t>
  </si>
  <si>
    <t>CR-MFA-C-047</t>
  </si>
  <si>
    <t>CR-MFA-C-067</t>
  </si>
  <si>
    <t>CR-MFA-C-043</t>
  </si>
  <si>
    <t>CR-MFA-C-021</t>
  </si>
  <si>
    <t>CR-MFA-C-022</t>
  </si>
  <si>
    <t>ANKOMAKWAA JN - BISEASE</t>
  </si>
  <si>
    <t>YEKUKWA - AKAWUSU</t>
  </si>
  <si>
    <t>Global-Ten Ltd.</t>
  </si>
  <si>
    <t>DFR/CR/ASI/RESH/GOG/51/12</t>
  </si>
  <si>
    <t>BEPOTEN JN - BEPOTEN</t>
  </si>
  <si>
    <t xml:space="preserve"> BEPOTEN JN - BEPOTEN &amp; OTHERS</t>
  </si>
  <si>
    <t>ANKAAKO - AKATAKYIWA</t>
  </si>
  <si>
    <t>CR-LDE-A-062</t>
  </si>
  <si>
    <t>CR-LDE-I-056</t>
  </si>
  <si>
    <t>DFR/CR/THLD/RESH/GOG/53/12</t>
  </si>
  <si>
    <t>NYINASE - BROFOYEDUR &amp; OTHERS</t>
  </si>
  <si>
    <t>NYINASE - BROFOYEDUR</t>
  </si>
  <si>
    <t xml:space="preserve">OLD DAMANG JN - OLD DAMANG </t>
  </si>
  <si>
    <t>ABODOM - HEMANSE</t>
  </si>
  <si>
    <t xml:space="preserve">ABODOM JN - ABODOM </t>
  </si>
  <si>
    <t>CR-LDE-A-017</t>
  </si>
  <si>
    <t>CR-LDE-A-018</t>
  </si>
  <si>
    <t>CR-LDE-A-020</t>
  </si>
  <si>
    <t>CR-LDE-A-019</t>
  </si>
  <si>
    <t>DFR/CR/THLD/RESH/GOG/54/12</t>
  </si>
  <si>
    <t>2,931m Conc. 0.3x0.3x0.1m "U" Drains, 6,048 m Conc. 0.45x0.45x0.12m "U" Drains, 1№ 2/900X1200mm,4№ 900X1200mm,6№ 700X900mm U-Culvert Completed.</t>
  </si>
  <si>
    <t xml:space="preserve">Sung Yeurang Ltd.                                                       </t>
  </si>
  <si>
    <t xml:space="preserve">Joe Azar Co. Ltd. </t>
  </si>
  <si>
    <t>11.2km of Grass Cutting and Reshaping completed</t>
  </si>
  <si>
    <t>5.5km of Grass Cutting and Reshaping completed</t>
  </si>
  <si>
    <t>Abdul-Rahman &amp; Sons Ltd.</t>
  </si>
  <si>
    <t>Konadu Yiadom Construction Ltd.</t>
  </si>
  <si>
    <t>Alhaji Dauda &amp; Sons Const.</t>
  </si>
  <si>
    <t>Fikus Const. Ltd.</t>
  </si>
  <si>
    <t>Batwack Ent. Ltd.</t>
  </si>
  <si>
    <t>Pea - Ka Ltd.</t>
  </si>
  <si>
    <t>Saraswate Civil &amp; Building Const. Ltd</t>
  </si>
  <si>
    <t>Honia - As Gh. Ltd.</t>
  </si>
  <si>
    <t xml:space="preserve">Sunlu (Gh) Ltd.                                             </t>
  </si>
  <si>
    <t>DFR/CR/AEE/RESH/GOG/10/21</t>
  </si>
  <si>
    <t>DFR/CR/AEE/CFRIP PHI/SURF/1A/11</t>
  </si>
  <si>
    <t xml:space="preserve">COCOBOD/CFRIP </t>
  </si>
  <si>
    <t>DFR/CR/THLD/CFRIP PHI/REH/2B/11</t>
  </si>
  <si>
    <t>DFR/CR/AS/CFRIP PHI/SURF/4A/11</t>
  </si>
  <si>
    <t>5No 700x900mm,2No 900x1200mm U-culvert,583m of 450x450x120mm Conc U-drains completed</t>
  </si>
  <si>
    <t xml:space="preserve">Enum Jn-Donkorkrom &amp; Others </t>
  </si>
  <si>
    <t>Lar-Tan Ltd</t>
  </si>
  <si>
    <t>3№ 900x1200mm,3№ 2/900x1200mm,14№ 700x900mm U-culvert and 6,956m 450x450x120mm,2,623m 600x600x150mm,220m 900x900x150mm Conc U-drain,679m of kerbs completed</t>
  </si>
  <si>
    <t>All In One Co. Ltd</t>
  </si>
  <si>
    <t>9.1km of Grass Cutting and Reshaping completed</t>
  </si>
  <si>
    <t>ODUMASE - OBOBAKOKROWA</t>
  </si>
  <si>
    <t>DFR/CR/AN/GC/GOG/30/10</t>
  </si>
  <si>
    <t>4.8km of Grass Cutting  completed</t>
  </si>
  <si>
    <t>ANUM JN - DONKORKROM</t>
  </si>
  <si>
    <t>DFR/CR/AN/GC/GOG/34/10</t>
  </si>
  <si>
    <t>9.0km of Grass Cutting  completed</t>
  </si>
  <si>
    <t>CR-AGO-C-037</t>
  </si>
  <si>
    <t>E. Speedway Construct</t>
  </si>
  <si>
    <t>Kopp Civil Eng Building And Roads Co Ltd</t>
  </si>
  <si>
    <t>Reshaping</t>
  </si>
  <si>
    <t xml:space="preserve"> Gyinakuma Jn-Gyinakuma &amp; Others </t>
  </si>
  <si>
    <t>DFR/CR/MF/RESH/GOG/10/4</t>
  </si>
  <si>
    <t>2№ 700X900mm,1№ 900X1200mm,2№ 1250X1800mm completed.</t>
  </si>
  <si>
    <t xml:space="preserve">2№ 700x900mm,600m 450x450x120mm Concrete U drains completed. </t>
  </si>
  <si>
    <t>Zulpha Construction Ltd</t>
  </si>
  <si>
    <t>Twifo Praso Town Roads PH 2</t>
  </si>
  <si>
    <t>Diaso Town Roads</t>
  </si>
  <si>
    <t xml:space="preserve"> Nkodjo-Abaasa &amp; Others </t>
  </si>
  <si>
    <t xml:space="preserve"> Abaasa-Enyan Abor &amp; Others </t>
  </si>
  <si>
    <t>DFR/CR/EF/RESH/GOG/10/18</t>
  </si>
  <si>
    <t>DFR/CR/AAK/RESH/GOG/10/19</t>
  </si>
  <si>
    <t>DFR/CR/AAK/RESH/GOG/10/20</t>
  </si>
  <si>
    <t>Tiboura-Taa Ent. Ltd.</t>
  </si>
  <si>
    <t>CR-UED-A-054</t>
  </si>
  <si>
    <t>DFR/CR/AEE/CFRIP/REH/11B/11</t>
  </si>
  <si>
    <t>Badukrom - Ofabil F/R</t>
  </si>
  <si>
    <t>CR-AJU-C-017</t>
  </si>
  <si>
    <t>Gold Coast Camp - Wawase F/R</t>
  </si>
  <si>
    <t>7№ 700X900mm,1№ 900X1200mm ,1№ 2/900X1200mm U-Culvert,160m of 450x450x120mm,200m of 600x600x150mm Conc. U-drain completed</t>
  </si>
  <si>
    <t>Project Terminated on 20/04/11. Final account on 11/03/13</t>
  </si>
  <si>
    <t>Works completed. 50% of retention released on 20/03/13</t>
  </si>
  <si>
    <t>17.8km of Grass Cutting and Reshaping completed</t>
  </si>
  <si>
    <t>HEMANG - BRUKUSU</t>
  </si>
  <si>
    <t>20.0km of Grass Cutting and Reshaping completed</t>
  </si>
  <si>
    <t>GOG</t>
  </si>
  <si>
    <t>DFR/CR/GOG/SI/PQ/08/10</t>
  </si>
  <si>
    <t>CR-GOM-I-046</t>
  </si>
  <si>
    <t>NKRONUA ANAFO - NKRONUA ATIFI</t>
  </si>
  <si>
    <t>King-Kay Co. Ltd.</t>
  </si>
  <si>
    <t>AMOAMAN - ASAMAN &amp; OTHER</t>
  </si>
  <si>
    <t>DFR/CR/UDW/RESH/GOG/13/11</t>
  </si>
  <si>
    <t>CR-UED-I-008</t>
  </si>
  <si>
    <t>CR-UED-I-067</t>
  </si>
  <si>
    <t>NUAMAKROM - MINTAH</t>
  </si>
  <si>
    <t>Cob-Tay Const. Wks.</t>
  </si>
  <si>
    <t>DFR/CR/THLD/RESH/GOG/38/11</t>
  </si>
  <si>
    <t>GOM</t>
  </si>
  <si>
    <t>UED</t>
  </si>
  <si>
    <t>ASI</t>
  </si>
  <si>
    <t>KEE</t>
  </si>
  <si>
    <t>AGO</t>
  </si>
  <si>
    <t>10.0km of Grass Cutting  completed</t>
  </si>
  <si>
    <t>DFR/CR/GE/GC/GOG/42/10</t>
  </si>
  <si>
    <t>DFR/CR/GE/GC/GOG/43/10</t>
  </si>
  <si>
    <t>FETTEH - KROBOAKYIR</t>
  </si>
  <si>
    <t>4.3km of Grass Cutting  completed</t>
  </si>
  <si>
    <t>BUADUATTA JN - FAWOMANYE</t>
  </si>
  <si>
    <t>DFR/CR/GE/GC/GOG/44/10</t>
  </si>
  <si>
    <t xml:space="preserve">Dompoase-Kokoado – Kissi </t>
  </si>
  <si>
    <t>9.5km of Grass Cutting  completed</t>
  </si>
  <si>
    <t>CR-KEE-A-035</t>
  </si>
  <si>
    <t>Clearing,4№ 900x1200mm U-culvert ,2№ abutment completed.</t>
  </si>
  <si>
    <t>CR-LDE-C-065</t>
  </si>
  <si>
    <t>6No 700x900mm,2No 900x1200mm U-culvert completed</t>
  </si>
  <si>
    <t>Ruzilet Gh Co. Ltd.</t>
  </si>
  <si>
    <t>DFR/CR/AJU/RESH/GOG/49/12</t>
  </si>
  <si>
    <t>AMPIA - ABEADZE &amp; OTHERS</t>
  </si>
  <si>
    <t>AMPIA - ABEADZE</t>
  </si>
  <si>
    <t>CR-AJU-A-009</t>
  </si>
  <si>
    <t>CR-AJU-C-010</t>
  </si>
  <si>
    <t>CR-AJU-I-011</t>
  </si>
  <si>
    <t>ABROFO - ATAKORASE</t>
  </si>
  <si>
    <t>MANDO JN - ATAKORASE JN</t>
  </si>
  <si>
    <t>MANDO - OPPONSO KYEBI</t>
  </si>
  <si>
    <t>Alaro Eng. Ltd.</t>
  </si>
  <si>
    <t>DFR/CR/AJU/RESH/GOG/50/12</t>
  </si>
  <si>
    <t>MANTE (AMANOR) - OTABILKWA</t>
  </si>
  <si>
    <t>MANTE (AMANOR) - OTABILKWA &amp; OTHERS</t>
  </si>
  <si>
    <t>OTABILKWA - OBOSOMFO</t>
  </si>
  <si>
    <t>ADANSI - IMMUNA</t>
  </si>
  <si>
    <t>CR-MFA-C-074</t>
  </si>
  <si>
    <t>CR-MFA-C-073</t>
  </si>
  <si>
    <t>EGYANKWA - IMMUNA</t>
  </si>
  <si>
    <t>OTUAM - SRAFA KOKODO</t>
  </si>
  <si>
    <t>Roovan Co. Ltd.</t>
  </si>
  <si>
    <t>DFR/CR/MF/RESH/GOG/32/12</t>
  </si>
  <si>
    <t>BIRIWA - ASAFORA JN &amp; OTHERS</t>
  </si>
  <si>
    <t>BIRIWA - ASAFORA JN</t>
  </si>
  <si>
    <t>CR-MFA-A-060</t>
  </si>
  <si>
    <t>DFR/CR/MF/RESH/GOG/33/12</t>
  </si>
  <si>
    <t>14.1km of Grass Cutting and Reshaping completed</t>
  </si>
  <si>
    <t>Anyinase-Kayireku-Osenagya F/R PH 1</t>
  </si>
  <si>
    <t>Assin North</t>
  </si>
  <si>
    <t>Assin South</t>
  </si>
  <si>
    <t>Mfantsiman</t>
  </si>
  <si>
    <t>Agona East</t>
  </si>
  <si>
    <t>Agona Nyarkrom-Otenkorang-Bosompa</t>
  </si>
  <si>
    <t>Akropong-Odumase F/R PH 2</t>
  </si>
  <si>
    <t xml:space="preserve"> Affaw Jn-affaw &amp; Others</t>
  </si>
  <si>
    <t xml:space="preserve"> Gyinabodie Jn-Nyankomase &amp; Others &amp; Others </t>
  </si>
  <si>
    <t>DFR/CR/ASS/RESH/GOG/10/7</t>
  </si>
  <si>
    <t>DFR/CR/UDE/CFRIP/SI/6B/11</t>
  </si>
  <si>
    <t>CR-UED-A-063</t>
  </si>
  <si>
    <t>Praprababida - Buabin Camp F/R</t>
  </si>
  <si>
    <t>Buabin - Adjoma F/R</t>
  </si>
  <si>
    <t>EMQAP/DFR/CR/AWS/10/NCB/LOT 13</t>
  </si>
  <si>
    <t>Catrol (GH) Ltd.</t>
  </si>
  <si>
    <t>Gangan - Ankaa</t>
  </si>
  <si>
    <t>DFR/CR/THLD/RESH/GOG/33/11</t>
  </si>
  <si>
    <t>ABRAFO - GYEWARE</t>
  </si>
  <si>
    <t>EDZIYAW - AGRIC BUNGALOW</t>
  </si>
  <si>
    <t>CR-AJU-C-022</t>
  </si>
  <si>
    <t>DFR/CR/AEE/CFRIP/REH/6A/11</t>
  </si>
  <si>
    <t>Ofabil - Dominase F/R</t>
  </si>
  <si>
    <t>Unkar Ltd</t>
  </si>
  <si>
    <t>DFR/CR/AOB/CFRIP/SI/10A/11</t>
  </si>
  <si>
    <t>Tumsiase Jn - Tumsiase</t>
  </si>
  <si>
    <t>Nanahene Inv. Ltd,</t>
  </si>
  <si>
    <t>DFR/CR/AEE/CFRIP/SI/3A/11</t>
  </si>
  <si>
    <t>Nyamebekyere - Amoanda</t>
  </si>
  <si>
    <t>Karins Gh Ltd.</t>
  </si>
  <si>
    <t>DFR/CR/AN/CFRIP/SI/2B/11</t>
  </si>
  <si>
    <t>Akakyere Ventures</t>
  </si>
  <si>
    <t>Anhwiam - Kwaanankwaa</t>
  </si>
  <si>
    <t>Kobnasah Inv. Ltd.</t>
  </si>
  <si>
    <t>2№ abutment   completed.</t>
  </si>
  <si>
    <t>Clearing ,2№ abutment   completed.</t>
  </si>
  <si>
    <t>AMANFOR - NAMAWORA &amp; OTHERS</t>
  </si>
  <si>
    <t>Kona - Adadekofi</t>
  </si>
  <si>
    <t>Osei Apeani Co. Ltd.</t>
  </si>
  <si>
    <t>DFR/CR/AS/CFRIP/REH/8A/11</t>
  </si>
  <si>
    <t>Adiembra - Gyahadze F/R</t>
  </si>
  <si>
    <t>Property Dev. /Bus. Inv. Ltd.</t>
  </si>
  <si>
    <t>DFR/CR/AS/CFRIP/SI/12B/11</t>
  </si>
  <si>
    <t>Adiembra - Nuanua F/R</t>
  </si>
  <si>
    <t>DFR/CR/AE/CFRIP/SI/12A/11</t>
  </si>
  <si>
    <t>Nantifa - Tawora</t>
  </si>
  <si>
    <t>Balmoral Co. Ltd.</t>
  </si>
  <si>
    <t>10.6km of Grass Cutting and Reshaping completed</t>
  </si>
  <si>
    <t>DFR/CR/AS/IDA/TSP/NCB/W-4/SI/LOT 12/2011</t>
  </si>
  <si>
    <t>DFR/CR/AAK/IDA/TSP/NCB/W-4/SI/LOT 4/2011</t>
  </si>
  <si>
    <t>DFR/CR/THLD/IDA/TSP/NCB/W-4/SI/LOT 4/2011</t>
  </si>
  <si>
    <t>DFR/CR/AAK/RESH/GOG/48/12</t>
  </si>
  <si>
    <t>MANDO - ENYAN APAA &amp; OTHERS</t>
  </si>
  <si>
    <t>MANDO - ENYAN APAA</t>
  </si>
  <si>
    <t>CR-AJU-C-012</t>
  </si>
  <si>
    <t>AJU</t>
  </si>
  <si>
    <t>CR-AJU-A-013</t>
  </si>
  <si>
    <t>CR-AJU-C-007</t>
  </si>
  <si>
    <t>OBONTSER - OBONTSER ENYAN</t>
  </si>
  <si>
    <t>ESIAMAN - ASASAN</t>
  </si>
  <si>
    <t>ADUASA KOKODO - OBONTSER ENYAN</t>
  </si>
  <si>
    <t>NSAWADZE - OBONTSER JN</t>
  </si>
  <si>
    <t>CR-AJU-C-030</t>
  </si>
  <si>
    <t>CR-AJU-C-031</t>
  </si>
  <si>
    <t>5No 700x900mm,2No 900x1200mm U-culvert completed</t>
  </si>
  <si>
    <t>Saitama Ent. Ltd.</t>
  </si>
  <si>
    <t>EGUASE - ASEBU EKROFUL JN</t>
  </si>
  <si>
    <t>EGUASE - ASEBU EKROFUL JN&amp; OTHERS</t>
  </si>
  <si>
    <t xml:space="preserve">MENSAH JN - MENSAH </t>
  </si>
  <si>
    <t xml:space="preserve">ABUENU JN  - ABUENU  </t>
  </si>
  <si>
    <t>DFR/CR/AAK/RESH/GOG/47/12</t>
  </si>
  <si>
    <t>BOBIKUMA - NYARKROM</t>
  </si>
  <si>
    <t xml:space="preserve">AW </t>
  </si>
  <si>
    <t>CR-AGO-C-049</t>
  </si>
  <si>
    <t>Sardauna Ltd.</t>
  </si>
  <si>
    <t>Clearing, formation and 5№ 700X900mm U-culvert,150m 450x450x150mm U- drain,200m kerb,extention of 1No 600mm pipe culvert  &amp; 1.0km sub-base completed.</t>
  </si>
  <si>
    <t>DFR/CR/SUR/GOG/07/1</t>
  </si>
  <si>
    <t>Obohen - Oboka</t>
  </si>
  <si>
    <t>CR-AAK-C-057</t>
  </si>
  <si>
    <t>19.8km of Grass Cutting and Reshaping completed</t>
  </si>
  <si>
    <t>CR-LDE-I-052</t>
  </si>
  <si>
    <t>CR-LDE-A-033</t>
  </si>
  <si>
    <t>CR-LDE-C-035</t>
  </si>
  <si>
    <t>CR-LDE-A-036</t>
  </si>
  <si>
    <t>CR-AES-A-011</t>
  </si>
  <si>
    <t>DFR/CR/UDE/RESH/GOG/22/11</t>
  </si>
  <si>
    <t>AWISEM - ASAMAN</t>
  </si>
  <si>
    <t>CR-UED-A-049</t>
  </si>
  <si>
    <t>AMANFOR - NAMAWORA</t>
  </si>
  <si>
    <t>Offshore Eng. Ltd.</t>
  </si>
  <si>
    <t>BOSOMPA - NKWANTANANDO</t>
  </si>
  <si>
    <t>NYINASIN - TSETSEKASUM</t>
  </si>
  <si>
    <t xml:space="preserve"> NYINASIN - TSETSEKASUM &amp; OTHERS</t>
  </si>
  <si>
    <t>EFUTU - SRODOFO</t>
  </si>
  <si>
    <t>ANKAFUL SCHOOL - EBU</t>
  </si>
  <si>
    <t>KOKOWADO JN - NKOKOSA</t>
  </si>
  <si>
    <t>Abdul Rahman &amp; Sons Ltd.</t>
  </si>
  <si>
    <t>DFR/CR/AE/RESH/GOG/39/12</t>
  </si>
  <si>
    <t>Landlock Gh Natural Paving Ltd.</t>
  </si>
  <si>
    <t>DFR/CR/THLD/RESH/GOG/61/12</t>
  </si>
  <si>
    <t>OGUAA - GOMOA TARKWA</t>
  </si>
  <si>
    <t>Nataco Beach Resort</t>
  </si>
  <si>
    <t>Enh Eng.</t>
  </si>
  <si>
    <t>Kaneamayewo Ent.</t>
  </si>
  <si>
    <t>DFR/CR/MF/RESH/GOG/35/12</t>
  </si>
  <si>
    <t>ABEADZEKYEAKOR - KWAAKROM &amp; OTHERS</t>
  </si>
  <si>
    <t>ABEADZEKYEAKOR - KWAAKROM</t>
  </si>
  <si>
    <t>CR-MFA-I-029</t>
  </si>
  <si>
    <t>CR-MFA-A-038</t>
  </si>
  <si>
    <t>CR-MFA-A-039</t>
  </si>
  <si>
    <t>MAMPONG - ESAIKROM</t>
  </si>
  <si>
    <t>CR-MFA-A-063</t>
  </si>
  <si>
    <t>CR-MFA-A-059</t>
  </si>
  <si>
    <t>CR-MFA-A-062</t>
  </si>
  <si>
    <t>CR-AGO-I-054</t>
  </si>
  <si>
    <t>CR-AGO-A-027</t>
  </si>
  <si>
    <t>CR-AGO-A-014</t>
  </si>
  <si>
    <t>CR-AGO-C-016</t>
  </si>
  <si>
    <t>CR-GOM-C-020</t>
  </si>
  <si>
    <t>CR-KEE-C-037</t>
  </si>
  <si>
    <t>CR-KEE-A-039</t>
  </si>
  <si>
    <t>CR-UED-A-021</t>
  </si>
  <si>
    <t>Atieku - Okyireko</t>
  </si>
  <si>
    <t>Nsuakyir - Warabeba</t>
  </si>
  <si>
    <t>6№ 700X900mm U-culvert,316m 450x450x150mm U- drain completed.</t>
  </si>
  <si>
    <t>CR-AES-A-038</t>
  </si>
  <si>
    <t>Sankor - Nsuakyir</t>
  </si>
  <si>
    <t>Kwame Agyei - Ebamu - Nyakokwaa PH 3</t>
  </si>
  <si>
    <t xml:space="preserve">Antelli Agricon   Ltd.  </t>
  </si>
  <si>
    <t>DFR/CR/AE/IDA/TSP/NCB/W-4/SI/LOT 7/2011</t>
  </si>
  <si>
    <t>DFR/CR/AEE/IDA/TSP/NCB/W-4/SI/LOT 8/2011</t>
  </si>
  <si>
    <t>DFR/CR/AWS/IDA/TSP/NCB/W-4/SI/LOT 9/2011</t>
  </si>
  <si>
    <t>7,537m of 0.45x0.45x0.12m Conc. "U" Drains,1№ 2/900x1200mm &amp; 9No culverts and 3,949.9m of Conc. In-situ kerbs, 59.3m of Retaining wall Completed.</t>
  </si>
  <si>
    <t>KISSI - AKYEASE JN</t>
  </si>
  <si>
    <t>KISSI JN - KISSI</t>
  </si>
  <si>
    <t>7.65km of Grass Cutting  completed</t>
  </si>
  <si>
    <t xml:space="preserve"> Osubonpanyin Jn.-Asubonpanyin &amp; Others </t>
  </si>
  <si>
    <t>Acquahkrom - Amissahkrom</t>
  </si>
  <si>
    <t>DFR/CR/KEEA/RESH/GOG/7/12</t>
  </si>
  <si>
    <t>DFR/CR/KEEA/RESH/GOG/6/12</t>
  </si>
  <si>
    <t>NTRANOA JN - SSNIT &amp; OTHERS</t>
  </si>
  <si>
    <t>NTRANOA JN - SSNIT</t>
  </si>
  <si>
    <t>CR-KEE-C-004</t>
  </si>
  <si>
    <t>CR-KEE-A-003</t>
  </si>
  <si>
    <t>CR-KEE-A-006</t>
  </si>
  <si>
    <t>ANKAFUL PRISON - SIMIW</t>
  </si>
  <si>
    <t xml:space="preserve">ABEE JN - ABEE </t>
  </si>
  <si>
    <t xml:space="preserve">AMOANDA JN - AMOANDA </t>
  </si>
  <si>
    <t>Acod Const.</t>
  </si>
  <si>
    <t>DFR/CR/KEEA/RESH/GOG/5/12</t>
  </si>
  <si>
    <t>ANYINASE - DUTCH KOMENDA</t>
  </si>
  <si>
    <t>ANYINASE - DUTCH KOMENDA &amp; OTHERS</t>
  </si>
  <si>
    <t>DOMPOASE - KOKWADO</t>
  </si>
  <si>
    <t>CR-KEE-A-026</t>
  </si>
  <si>
    <t>CR-KEE-I-016</t>
  </si>
  <si>
    <t xml:space="preserve">ANLO JN - ANLO </t>
  </si>
  <si>
    <t>DWENASE - JUKWA</t>
  </si>
  <si>
    <t>ANLO BEACH JN - ANLO BEACH</t>
  </si>
  <si>
    <t>EFUTU JN - ABREM AGONA</t>
  </si>
  <si>
    <t>EFUTU JN - ABREM AGONA &amp; OTHERS</t>
  </si>
  <si>
    <t>CR-KEE-I-009</t>
  </si>
  <si>
    <t>CR-KEE-A-028</t>
  </si>
  <si>
    <t>AYENSUDO - BRENU-AKYINIM</t>
  </si>
  <si>
    <t xml:space="preserve">KOMENDA JN - KOMENDA </t>
  </si>
  <si>
    <t>10.5km of Grass Cutting  completed</t>
  </si>
  <si>
    <t>Merzoe Ventures</t>
  </si>
  <si>
    <t>DFR/CR/THLD/RESH/GOG/30/11</t>
  </si>
  <si>
    <t>PRASO № 1 - NTIAMOAH</t>
  </si>
  <si>
    <t xml:space="preserve"> CR-LDE-A-044</t>
  </si>
  <si>
    <t>DFR/CR/THLD/RESH/GOG/35/11</t>
  </si>
  <si>
    <t>KUNTENASI - AKURAKESE</t>
  </si>
  <si>
    <t>CR-ASI-A-007</t>
  </si>
  <si>
    <t>CR-ASS-C-033</t>
  </si>
  <si>
    <t>ANDOE JN - LARTEH AMANBETE</t>
  </si>
  <si>
    <t>FANTI AMANBETI JN - FANTI AMANBETI</t>
  </si>
  <si>
    <t>LARTEH AMANBETE - ANDOE BUSH</t>
  </si>
  <si>
    <t>Carvalie Ent.</t>
  </si>
  <si>
    <t>DFR/CR/AS/RESH/GOG/11/12</t>
  </si>
  <si>
    <t>ADUBIASE - ANDOE</t>
  </si>
  <si>
    <t>ADUBIASE - ANDOE PH I</t>
  </si>
  <si>
    <t>Brokers Ventures</t>
  </si>
  <si>
    <t>DFR/CR/AS/RESH/GOG/12/12</t>
  </si>
  <si>
    <t>BENUYE JN - AWAISU WAWASE &amp; OTHERS</t>
  </si>
  <si>
    <t>BENUYE JN - AWAISU WAWASE</t>
  </si>
  <si>
    <t>NSENE JN - NSENE</t>
  </si>
  <si>
    <t>8.8km of Grass Cutting and Reshaping completed</t>
  </si>
  <si>
    <t>Warebeba Jn - Warebeba</t>
  </si>
  <si>
    <t>DFR/CR/SURF/HIPC/08/3</t>
  </si>
  <si>
    <t>Bewinum Jn - Adawukwa</t>
  </si>
  <si>
    <t>DFR/CR/THLD/GC/GOG/50/10</t>
  </si>
  <si>
    <t>15.8km of Grass Cutting and Reshaping completed</t>
  </si>
  <si>
    <t>Project completed on 16/05/11</t>
  </si>
  <si>
    <t>Akropong-Odumase F/R PH 1</t>
  </si>
  <si>
    <t>Abaasa-Enyan Abor</t>
  </si>
  <si>
    <t>Osedzi - Essaman - Opropro</t>
  </si>
  <si>
    <t>Kyebi Jn -  Osedzi</t>
  </si>
  <si>
    <t>Eshiem - Afransi</t>
  </si>
  <si>
    <t>Baa-Amia - Osedzi</t>
  </si>
  <si>
    <t xml:space="preserve"> Manford-Wheda &amp; Others </t>
  </si>
  <si>
    <t>DFR/CR/GW/RESH/GOG/10/10</t>
  </si>
  <si>
    <t>Essuehia Akra &amp; Others</t>
  </si>
  <si>
    <t xml:space="preserve">Old Days Co. Ltd.                                </t>
  </si>
  <si>
    <t>M.W. Co Ltd.</t>
  </si>
  <si>
    <t>Dangiba Co. Ltd.</t>
  </si>
  <si>
    <t>CR-ASS-A-022</t>
  </si>
  <si>
    <t>ASS</t>
  </si>
  <si>
    <t>Gbagory Const. Ltd.</t>
  </si>
  <si>
    <t>18.5km of Grass Cutting and Reshaping completed</t>
  </si>
  <si>
    <t>10.25km of Grass Cutting and Reshaping completed</t>
  </si>
  <si>
    <t>Yadovic Ltd.</t>
  </si>
  <si>
    <t>DFR/CR/KEEA/GC/GOG/56/10</t>
  </si>
  <si>
    <t>ESSAMAN - BANTAMA</t>
  </si>
  <si>
    <t>DFR/CR/AS/GC/GOG/11/10</t>
  </si>
  <si>
    <t>DOMPOASE JN - DOMPOASE</t>
  </si>
  <si>
    <t>Steel Bridge over River Kakum on Anyinase - Dahia - Tsetsekasum F/R</t>
  </si>
  <si>
    <t>Rinacand Co. Ltd.</t>
  </si>
  <si>
    <t>KUNTENASI - AKURAKESE &amp; OTHERS</t>
  </si>
  <si>
    <t>Raj Co. Ltd.</t>
  </si>
  <si>
    <t>DFR/CR/AOB/RESH/GOG/16/11</t>
  </si>
  <si>
    <t>CR-ASI-A-016</t>
  </si>
  <si>
    <t>CR-ASI-A-021</t>
  </si>
  <si>
    <t>CR-ASI-A-012</t>
  </si>
  <si>
    <t>BRONYIBIMA - BERASE</t>
  </si>
  <si>
    <t>CR-KEE-C-007</t>
  </si>
  <si>
    <t>Asaff Co. Ltd.</t>
  </si>
  <si>
    <t>DFR/CR/KEEA/RESH/GOG/26/11</t>
  </si>
  <si>
    <t>AKONFUDI - ASUOKUMASO</t>
  </si>
  <si>
    <t>AKONFUDI - ATWEREBONDA</t>
  </si>
  <si>
    <t>BENUYE - ATAKWAA</t>
  </si>
  <si>
    <t>AKONFUDI - ASUOKUMASO &amp; OTHERS</t>
  </si>
  <si>
    <t>CR-ASN-A-028</t>
  </si>
  <si>
    <t>work in progress</t>
  </si>
  <si>
    <t>CR-ASN-A-020</t>
  </si>
  <si>
    <t>CR-ASN-A-003</t>
  </si>
  <si>
    <t>DFR/CR/AN/RESH/GOG/24/11</t>
  </si>
  <si>
    <t>ASMA CAMP - NYARDUAM JN</t>
  </si>
  <si>
    <t xml:space="preserve">ASMA CAMP - NYARDUAM JN </t>
  </si>
  <si>
    <t>CR-UED-C-050</t>
  </si>
  <si>
    <t>Bestimmt CSA Ltd.</t>
  </si>
  <si>
    <t>CR-GOM-C-016</t>
  </si>
  <si>
    <t>Felko Ent.</t>
  </si>
  <si>
    <t>17.20km of Grass Cutting and Reshaping completed</t>
  </si>
  <si>
    <t>Skills &amp; Sirgaul Ltd.</t>
  </si>
  <si>
    <t xml:space="preserve">Slow progress.Project Terminated reversed on 2012.                   </t>
  </si>
  <si>
    <t>Slow Progress</t>
  </si>
  <si>
    <t>DFR/CR/AN/GC/GOG/33/10</t>
  </si>
  <si>
    <t>Ebisanso Co. Ltd.</t>
  </si>
  <si>
    <t>ACROW/GOG</t>
  </si>
  <si>
    <t>SPANISH/GOG</t>
  </si>
  <si>
    <t>AfDB/EMQAP</t>
  </si>
  <si>
    <t>ABOTAREYE - DIADOKONO</t>
  </si>
  <si>
    <t>7.2km of Grass Cutting  completed</t>
  </si>
  <si>
    <t>Afua Afeiduwa Wks</t>
  </si>
  <si>
    <t>Samankrom Jn - Samankrom</t>
  </si>
  <si>
    <t>Affaw Jn-affaw</t>
  </si>
  <si>
    <t>Jakai - Kruwa Jn</t>
  </si>
  <si>
    <t>DFR/CR/THLD/IDA/TSP/NCB/W-4/SI/LOT 2/2011</t>
  </si>
  <si>
    <t>% COMPLETED</t>
  </si>
  <si>
    <t>LENGTH COMPLETED</t>
  </si>
  <si>
    <t>Mankessim - Ewoyaa Jn</t>
  </si>
  <si>
    <t>Nyamebekyere Jn - Nyamebekyere Bush</t>
  </si>
  <si>
    <r>
      <t>444m of 450x450x120mm U-drain,2№</t>
    </r>
    <r>
      <rPr>
        <sz val="9"/>
        <rFont val="Arial"/>
        <family val="2"/>
      </rPr>
      <t xml:space="preserve"> </t>
    </r>
    <r>
      <rPr>
        <sz val="12"/>
        <rFont val="Arial"/>
        <family val="2"/>
      </rPr>
      <t>1250x1800mm U-culvert,100m Conc. Kerbs completed</t>
    </r>
  </si>
  <si>
    <t>13.10km of Grass Cutting and Reshaping completed</t>
  </si>
  <si>
    <t>12.9km of Grass Cutting and Reshaping completed</t>
  </si>
  <si>
    <t>12.6km of Grass Cutting and Reshaping completed</t>
  </si>
  <si>
    <t>Atekyem- Mprakokrom</t>
  </si>
  <si>
    <t>DFR/CR/KEEA/GC/GOG/53/10</t>
  </si>
  <si>
    <t>AMPENYI JN - AMPENYI</t>
  </si>
  <si>
    <t>ASIKUMA - AYANFURI</t>
  </si>
  <si>
    <t>Ruthra Const. Co.</t>
  </si>
  <si>
    <t>DFR/CR/MF/RESH/GOG/34/12</t>
  </si>
  <si>
    <t>GOMOA ESHIEM - GOMOA APPIAKROM DEBISO &amp; OTHERS</t>
  </si>
  <si>
    <t>Ruthra Const. Ltd.</t>
  </si>
  <si>
    <t>DFR/CR/GW/RESH/GOG/10/11</t>
  </si>
  <si>
    <t>CR-GOM-A-002</t>
  </si>
  <si>
    <t>JAKIA - TUMFOKOR</t>
  </si>
  <si>
    <t>DFR/CR/AS/RESH/GOG/3/11</t>
  </si>
  <si>
    <t>ADIANOM JN - ADIANOM</t>
  </si>
  <si>
    <t>ABOABO CAMP - AKOTEY</t>
  </si>
  <si>
    <t>CR-ASS-A-042</t>
  </si>
  <si>
    <t>CR-ASS-A-040</t>
  </si>
  <si>
    <t>2,931m Conc. 0.3x0.3x0.1m "U" Drains, 6,048 m Conc. 0.45x0.45x0.12m "U" Drains, 1№ 2/900X1200mm,4№ 900X1200mm,6№ 700X900mm U-Culvert,4.8km sub-base and base,4.8km of primer seal &amp; seal Completed.</t>
  </si>
  <si>
    <t>CR-LDE-C-037</t>
  </si>
  <si>
    <t>CR-MFA-A-052</t>
  </si>
  <si>
    <t>Traveco Jn - Traveco</t>
  </si>
  <si>
    <t>500m of 450x450x120mm Conc. U-drain and 4No 700x900mm U-culvert  completed.</t>
  </si>
  <si>
    <t>Ankaful - Ebu</t>
  </si>
  <si>
    <t>Efutu - Srodofo</t>
  </si>
  <si>
    <t>20.10km of Grass Cutting and Reshaping completed</t>
  </si>
  <si>
    <t>CR-ASS-A-026</t>
  </si>
  <si>
    <t>CR-AJU-A-006</t>
  </si>
  <si>
    <t>CR-AJU-A-008</t>
  </si>
  <si>
    <t>Paaso - Paaso Farm</t>
  </si>
  <si>
    <t>Asiwukwaa Jn - Asiwukwaa</t>
  </si>
  <si>
    <t>Otweikrom - Okotokwaa</t>
  </si>
  <si>
    <t>Odombo Jn - Odombo</t>
  </si>
  <si>
    <t xml:space="preserve">           % ACHIEVEMENT</t>
  </si>
  <si>
    <t>Ariyan Ltd.</t>
  </si>
  <si>
    <t>CR-UED-A-026</t>
  </si>
  <si>
    <t>DFR/CR/AOB/CFRIP/SI/4B/11</t>
  </si>
  <si>
    <t>DFR/CR/UDE/CFRIP/REH/7B/11</t>
  </si>
  <si>
    <t>Bibianiha - Yeboa F/R</t>
  </si>
  <si>
    <t>Ebko-V Ltd.</t>
  </si>
  <si>
    <t>Clearing completed</t>
  </si>
  <si>
    <t>Obrakyire - Kwakwabi</t>
  </si>
  <si>
    <t>Project completed</t>
  </si>
  <si>
    <t>11.9km of Grass Cutting  completed</t>
  </si>
  <si>
    <t>5.54km of Grass Cutting and Reshaping completed</t>
  </si>
  <si>
    <t>Djankrom Jn - Djankrom</t>
  </si>
  <si>
    <t>Waakrom Jn -Waakrom</t>
  </si>
  <si>
    <t>Clearing,demolition,2№ Abuttment to launching level and 2№ Relief Culverts,2№ 1800x1800mm U-culvert and lynching completed.</t>
  </si>
  <si>
    <t>Clearing,formation Completed</t>
  </si>
  <si>
    <t>Recommended for termination to Head office on 9/11/09</t>
  </si>
  <si>
    <t>Nsanfo Jn - Nkramofuokrom</t>
  </si>
  <si>
    <t>Oguanamua Jn - Akoa</t>
  </si>
  <si>
    <t>Komantse - Otsir</t>
  </si>
  <si>
    <t>Lower Komantse - Upper Komantse</t>
  </si>
  <si>
    <t>Kankanbom - Oboadze</t>
  </si>
  <si>
    <t>Biriwa - Asfora Jn</t>
  </si>
  <si>
    <t>Essiamotan Jn - Essimotan</t>
  </si>
  <si>
    <t>Korado - Obosomdze</t>
  </si>
  <si>
    <t xml:space="preserve">Clearing,1142№ conc. Slabs,1№ 2/900x1200mm and 6№ 700x900mm U-culvert,1,533.9m 450x450x120 U-drain,640m of kerbs,258m of stone line drain,sub-base,base and primer seal &amp; seal completed. </t>
  </si>
  <si>
    <t>Minak Investment Ltd.</t>
  </si>
  <si>
    <t>Clearing,1No 700x900 U-culverts completed</t>
  </si>
  <si>
    <t>DFR/CR/AS/CFRIP PHI/SURF/5A/11</t>
  </si>
  <si>
    <t>878m 450x450mm U-drain,4№ 900x1200mm U-Culvert Completed</t>
  </si>
  <si>
    <t>3No 700x900mm,1No 1800x1800mm ,1No 2/1800x1800mm U- culvert,384m 450x450x120mm Conc U-drains</t>
  </si>
  <si>
    <t>KEEA</t>
  </si>
  <si>
    <t>AOB</t>
  </si>
  <si>
    <t>10№ 700x900mm 'U' culverts completed.</t>
  </si>
  <si>
    <t>EMQAP/DFR/CR/AWS/10/NCB/LOT 4</t>
  </si>
  <si>
    <t>EMQAP/DFR/CR/AWS/10/NCB/LOT 2</t>
  </si>
  <si>
    <t>DFR/CR/SPANISH/09/11</t>
  </si>
  <si>
    <t>Clearing completed, Bridge foundation on-going</t>
  </si>
  <si>
    <t>Work completed. 50% of retention released on 14/05/13</t>
  </si>
  <si>
    <t xml:space="preserve">Clearing,2№ 700x900mm,600m 450x450x120mm Concrete U drains,0.22km sub-base completed.  </t>
  </si>
  <si>
    <t>Royal Star Co. Ltd.</t>
  </si>
  <si>
    <t>DFR/CR/AWS/RESH/GOG/25/12</t>
  </si>
  <si>
    <t xml:space="preserve">ASIKUMA - AKWABOA </t>
  </si>
  <si>
    <t>Gyinankuma - Aduasa Kokodo</t>
  </si>
  <si>
    <t>Donkorkrom - Besedriase</t>
  </si>
  <si>
    <t>DFR/CR/THLD/IDA/TSP/NCB/W-4/SI/LOT 3/2011</t>
  </si>
  <si>
    <t>DFR/CR/GW/IDA/TSP/NCB/W-4/SI/LOT 6/2011</t>
  </si>
  <si>
    <t>Terminated and re-awarded</t>
  </si>
  <si>
    <t>DFR/CR/AE/SURF/GOG/2/12</t>
  </si>
  <si>
    <t>Duakwa - Akwakwa</t>
  </si>
  <si>
    <t>Steel members lunched,3№ 700x900mm,1№ 900x1200mm U-culvert completed</t>
  </si>
  <si>
    <t>21.85km of Grass Cutting and Reshaping completed</t>
  </si>
  <si>
    <t>8.7km of Grass Cutting and Reshaping completed</t>
  </si>
  <si>
    <t>4.8km of Grass Cutting and Reshaping completed</t>
  </si>
  <si>
    <t>POTSIN - AMOANDA</t>
  </si>
  <si>
    <t>Awally Complex Ltd.</t>
  </si>
  <si>
    <t>Ceco Eng. Ltd.</t>
  </si>
  <si>
    <t>Possesion of site given</t>
  </si>
  <si>
    <t>KRAMOKROM CAMP - NYAMEBEKYERE</t>
  </si>
  <si>
    <t xml:space="preserve">                                                                                                                                                  CR-ASS-I-044</t>
  </si>
  <si>
    <t>GE</t>
  </si>
  <si>
    <t>CC</t>
  </si>
  <si>
    <t>1,120m 450x450x120mm U-drain completed</t>
  </si>
  <si>
    <t>Benuye Camp C - Atakwaa</t>
  </si>
  <si>
    <t>DATE OF</t>
  </si>
  <si>
    <t>COMM.</t>
  </si>
  <si>
    <t>COMP.</t>
  </si>
  <si>
    <t>FOBINSO JN - FOBINSO</t>
  </si>
  <si>
    <t xml:space="preserve">Bawjiase-Aponkye Akura </t>
  </si>
  <si>
    <t>Shamma Rohi Ltd.</t>
  </si>
  <si>
    <t>Bawjiase-Ayensu Ako</t>
  </si>
  <si>
    <t>Taboura-Taa Ent. Ltd.</t>
  </si>
  <si>
    <t>4№ 700X900mm,2№ 600X700mm  U-culverts completed</t>
  </si>
  <si>
    <t>DFR/CR/SI/GOG/PQ/08/2</t>
  </si>
  <si>
    <t>DFR/CR/SI/GOG/PQ/08/3</t>
  </si>
  <si>
    <t>DFR/CR/SI/GOG/PQ/08/4</t>
  </si>
  <si>
    <t>DFR/CR/SI/GOG/PQ/08/6</t>
  </si>
  <si>
    <t>DFR/CR/SI/GOG/PQ/08/7</t>
  </si>
  <si>
    <t>Slow progress.Third Warning letter given on 22/5/09</t>
  </si>
  <si>
    <t>Jakai - Asano-Aben</t>
  </si>
  <si>
    <t>MOSEASO - SONYAMEKODU</t>
  </si>
  <si>
    <t>Odoben - Brakwaa Ph 1</t>
  </si>
  <si>
    <t>Odoben - Brakwaa Ph 2</t>
  </si>
  <si>
    <t>BESEASE - ESHIEM</t>
  </si>
  <si>
    <t>CR-GOM-C-007</t>
  </si>
  <si>
    <t>Slow progress. Third warning letter given on 6/9/12</t>
  </si>
  <si>
    <t>9.5km of Grass Cutting and Reshaping completed</t>
  </si>
  <si>
    <t>Tuakwa Jn-Betsingua</t>
  </si>
  <si>
    <t>Kwabiako Jn - Kofikwaa</t>
  </si>
  <si>
    <t>Samwilco Const. Ltd.</t>
  </si>
  <si>
    <t>Thomlako Ltd.</t>
  </si>
  <si>
    <t>Acquah &amp; Sons  Ltd.</t>
  </si>
  <si>
    <t>Jackson &amp; Sons Ltd.</t>
  </si>
  <si>
    <t>Anafo Const Works</t>
  </si>
  <si>
    <t>12.10km of Grass Cutting and Reshaping completed</t>
  </si>
  <si>
    <t>14.40km of Grass Cutting and Reshaping completed</t>
  </si>
  <si>
    <t xml:space="preserve">Recommended to DTC for termination of project on 28/7/10                             </t>
  </si>
  <si>
    <t>Lesse Co. Ltd.</t>
  </si>
  <si>
    <t>Clearing and 6№ 700X900mm U-culvert,316m 450x450x150mm U- drain,1.2km of sub-base completed.</t>
  </si>
  <si>
    <t>4№ 900x1200mm U-culvert,2№ abutment   completed.</t>
  </si>
  <si>
    <t>Slow progress. Second warning letter given on 11/6/12</t>
  </si>
  <si>
    <t xml:space="preserve">Clearing,formation &amp; 7№ 700x900mm  completed. </t>
  </si>
  <si>
    <t>Nkwantanum-Asaman F/R PH 2</t>
  </si>
  <si>
    <t>Kwanyako - Namawora</t>
  </si>
  <si>
    <t>Abowinim - Nkodwo</t>
  </si>
  <si>
    <t>Chochoe - Abonasah</t>
  </si>
  <si>
    <t>Mayenda - Obodakaba</t>
  </si>
  <si>
    <t xml:space="preserve">Akotsi - Ekroful </t>
  </si>
  <si>
    <t>4.0km of Grass Cutting  completed</t>
  </si>
  <si>
    <t>DFR/CR/AS/GC/GOG/13/10</t>
  </si>
  <si>
    <t>7.9km of Grass Cutting  completed</t>
  </si>
  <si>
    <t>4,238m 450x450x120mm Concrete U drains completed</t>
  </si>
  <si>
    <t>Cape Coast</t>
  </si>
  <si>
    <t xml:space="preserve">Gen. Const. &amp; Dev. Ltd.       </t>
  </si>
  <si>
    <t>_</t>
  </si>
  <si>
    <t>M. Isumail Ltd.</t>
  </si>
  <si>
    <t>DFR/CR/SURF/GOG/07/2</t>
  </si>
  <si>
    <t>DFR/CR/SP IMP/PQ/2007/11</t>
  </si>
  <si>
    <t>DFR/CR/GW/RESH/GOG/10/12</t>
  </si>
  <si>
    <t>Jamas Co. Ltd.</t>
  </si>
  <si>
    <t>Nataco Beach Resort &amp; Const. Ltd.</t>
  </si>
  <si>
    <t>Stafco Ltd.</t>
  </si>
  <si>
    <t>Joe Azar Co. Ltd.</t>
  </si>
  <si>
    <t xml:space="preserve">Breman Baako -Anyinabrim F/R (A)                      </t>
  </si>
  <si>
    <t xml:space="preserve">Breman Baako -Anyinabrim F/R (B)                      </t>
  </si>
  <si>
    <t>Besease - Anyinasu F/R (A)</t>
  </si>
  <si>
    <t>Agona Mirekukrom - Ayaase F/R (A)</t>
  </si>
  <si>
    <t>Besease - Anyinasu F/R (B)</t>
  </si>
  <si>
    <t>Agona Mirekukrom - Ayaase F/R (B)</t>
  </si>
  <si>
    <t>Praso-Bimponagya - Bimponso F/R (A)</t>
  </si>
  <si>
    <t>CR-AES-A-054</t>
  </si>
  <si>
    <t>CR-AES-C-053</t>
  </si>
  <si>
    <t>CR-AES-A-046</t>
  </si>
  <si>
    <t>CR-GOM-C-031</t>
  </si>
  <si>
    <t>DFR/CR/SUR/COCOA/4/2007</t>
  </si>
  <si>
    <t>FUNDING        &amp;      SOURCES</t>
  </si>
  <si>
    <t>CR-AGO-C-028/CR-AGO-A-027</t>
  </si>
  <si>
    <t>Dompoase-Kokwado - Benyadze</t>
  </si>
  <si>
    <t>Nswadwir - School</t>
  </si>
  <si>
    <t>CR-KEE-A-010</t>
  </si>
  <si>
    <t>18.80km of Grass Cutting and Reshaping completed</t>
  </si>
  <si>
    <t>DFR/CR/REH./GOG/06/6</t>
  </si>
  <si>
    <t>Chapess-Mampong</t>
  </si>
  <si>
    <t>15.40km of Grass Cutting and Reshaping completed.</t>
  </si>
  <si>
    <t>17.5km of Grass Cutting and Reshaping completed</t>
  </si>
  <si>
    <t>Krofu - Mpeseadadze</t>
  </si>
  <si>
    <t>Krofu - Krampakrom Jn</t>
  </si>
  <si>
    <t>Antaadze Jn - Antaadze</t>
  </si>
  <si>
    <t>Slow progress. Third warning letter given on 22/10/12</t>
  </si>
  <si>
    <t>Slow progress. Third warning letter given on 20/7/12</t>
  </si>
  <si>
    <t>ASSIN SWEDRU - BISIDUASE</t>
  </si>
  <si>
    <t>Deidenz Co Ltd.</t>
  </si>
  <si>
    <t>Tamlana-Tega Ent.</t>
  </si>
  <si>
    <t>Afrangua-Ayeldo-Kwadeogya</t>
  </si>
  <si>
    <t>Gyabankrom - Kwamankese</t>
  </si>
  <si>
    <t>DFR/CR/MFA/RESH/GOG/49/11</t>
  </si>
  <si>
    <t>Seidusco Ent.</t>
  </si>
  <si>
    <t>GYEMPOHKROM JN - GYEMPOHKROM</t>
  </si>
  <si>
    <t>SUBRISO JN - SUBRISO</t>
  </si>
  <si>
    <t>BUABIN - SOBROSO</t>
  </si>
  <si>
    <t>MBRADAN - NKWANTA</t>
  </si>
  <si>
    <t xml:space="preserve">Breman Baako -Anyinabrim F/R                      </t>
  </si>
  <si>
    <t>K.E. &amp; Sons Ltd.</t>
  </si>
  <si>
    <t>DFR/CR/AOB/CFRIP PHII/SURF/10/11</t>
  </si>
  <si>
    <t>Eguase - Amosima F/R</t>
  </si>
  <si>
    <t>DFR/CR/AAK/CFRIP PHII/SURF/11/11</t>
  </si>
  <si>
    <t>Sambrain Tricosal Co. Ltd.</t>
  </si>
  <si>
    <t>Mankoadze Jn - Mankoadze F/R</t>
  </si>
  <si>
    <t>CR-ASS-A-016</t>
  </si>
  <si>
    <t>Fosu - Odumase</t>
  </si>
  <si>
    <t>Odumase - Asibrim</t>
  </si>
  <si>
    <t>Bobsteps Ventures</t>
  </si>
  <si>
    <t>Abor-Techiman-Eyisam</t>
  </si>
  <si>
    <t>Ekumfi Nanabin - Narkwa</t>
  </si>
  <si>
    <t xml:space="preserve">Boadukrom Jn - Gomoa Amanful </t>
  </si>
  <si>
    <t>Otuam - Aboano - Srafa</t>
  </si>
  <si>
    <t>Adansi - Akra</t>
  </si>
  <si>
    <t>CR-AAK-C-050</t>
  </si>
  <si>
    <t>CR-AAK-C-051</t>
  </si>
  <si>
    <t>Nyamedom-Asomdwee</t>
  </si>
  <si>
    <t>Abakrampa - Nyamedom</t>
  </si>
  <si>
    <t>CR-AAK-C-054</t>
  </si>
  <si>
    <t>CR-AAK-C-025</t>
  </si>
  <si>
    <t xml:space="preserve"> Nkwantanum-Assin Manso </t>
  </si>
  <si>
    <t>Nkwantanum-Assin Manso</t>
  </si>
  <si>
    <t>Nkodjo-Abaasa</t>
  </si>
  <si>
    <t>Katoll (Gh) Ltd.</t>
  </si>
  <si>
    <t>Afua Amanquah</t>
  </si>
  <si>
    <t>CR-LDE-A-074</t>
  </si>
  <si>
    <t>Yamabek Const</t>
  </si>
  <si>
    <t>Walker Ent</t>
  </si>
  <si>
    <t>Asaff Const</t>
  </si>
  <si>
    <t>Gluck Fides Gh Ltd</t>
  </si>
  <si>
    <t>Jins Co. Ltd.</t>
  </si>
  <si>
    <t>Agri-Bisa Ventures</t>
  </si>
  <si>
    <t>Bumecon Inv. Ltd.</t>
  </si>
  <si>
    <t xml:space="preserve"> NKWANKYEMANSO - NUANUA</t>
  </si>
  <si>
    <t>ADJETEYKROM JN - ADJETEYKROM</t>
  </si>
  <si>
    <t>CR-LDE-A-002</t>
  </si>
  <si>
    <t>JAMRA - KROBO YAW</t>
  </si>
  <si>
    <t>CR-ASI-A-010</t>
  </si>
  <si>
    <t>Visitors Const. Ltd.</t>
  </si>
  <si>
    <t>DFR/CR/ASI/RESH/GOG/52/12</t>
  </si>
  <si>
    <t>EFUM - GYAWARE</t>
  </si>
  <si>
    <t xml:space="preserve"> DARMANG - MOSEASO &amp; OTHER</t>
  </si>
  <si>
    <t>DARMANG - MOSEASO</t>
  </si>
  <si>
    <t>DARMANG - KOJOKROM</t>
  </si>
  <si>
    <t>CR-LDE-C-016</t>
  </si>
  <si>
    <t>CR-LDE-A-014</t>
  </si>
  <si>
    <t>Koo Baiden Co. Ltd.</t>
  </si>
  <si>
    <t>DFR/CR/THLD/RESH/GOG/55/12</t>
  </si>
  <si>
    <t>Bo Const.</t>
  </si>
  <si>
    <t>Adiembra - Nuanua</t>
  </si>
  <si>
    <t>Akwakrom Jn - Akwakrom</t>
  </si>
  <si>
    <t>Odina - Kokofu</t>
  </si>
  <si>
    <t>Anyinase Jn - Dutch Komenda</t>
  </si>
  <si>
    <t>CR-MFA-C-069</t>
  </si>
  <si>
    <t>MFA</t>
  </si>
  <si>
    <t>Steel Bridge over River Bonsa on Atieku - Bonsaho F/R</t>
  </si>
  <si>
    <t xml:space="preserve">Steel Bridges over River Amunam and River Kakum on Kwaprow - Ankaful Jn  F/R  </t>
  </si>
  <si>
    <t>J. O. Awuah &amp; Brothers Ltd.</t>
  </si>
  <si>
    <t>Steel Bridge over River Hurine on Nkwantanum - Asaman F/R</t>
  </si>
  <si>
    <t>REVISED COMPLETION DATE</t>
  </si>
  <si>
    <t>CR-AGO-A-018</t>
  </si>
  <si>
    <t>Jacobs - Akwakwa</t>
  </si>
  <si>
    <t>CR-ASN-C-003</t>
  </si>
  <si>
    <t>Legna Const. Wks.</t>
  </si>
  <si>
    <t>Recommended to RETC on Nov,10</t>
  </si>
  <si>
    <t xml:space="preserve">Steel Bridge on Tehente-Tehente Jn F/R </t>
  </si>
  <si>
    <t>Mankessim Town Roads</t>
  </si>
  <si>
    <t>Slow progress.Final Warning letter given on 19/11/09</t>
  </si>
  <si>
    <t>Super Technology Ent.</t>
  </si>
  <si>
    <t>CR-MFA-I-072</t>
  </si>
  <si>
    <t>Kwame Kwei - Akweiku - Anaman Akura</t>
  </si>
  <si>
    <t>DFR/CR/UDE/CFRIP/SI/9A/11</t>
  </si>
  <si>
    <t>DFR/CR/AOB/CFRIP/REH/4A/11</t>
  </si>
  <si>
    <t>DFR/CR/AN/CFRIP/SI/9B/11</t>
  </si>
  <si>
    <t>DFR/CR/AE/CFRIP/SI/5A/11</t>
  </si>
  <si>
    <t>Duoto - Kwasi Dadzie - Paintsil F/R</t>
  </si>
  <si>
    <t>Jacob - Nkwanfo</t>
  </si>
  <si>
    <t>DFR/CR/AW/CFRIP/SI/2A/11</t>
  </si>
  <si>
    <t>Ntonton - Kona</t>
  </si>
  <si>
    <t>Senchiem - Agave</t>
  </si>
  <si>
    <t>CR-MFA-C-055</t>
  </si>
  <si>
    <t>CR-MFA-A-056</t>
  </si>
  <si>
    <t>CR-MFA-A-058</t>
  </si>
  <si>
    <t>CR-MFA-A-054</t>
  </si>
  <si>
    <t>CR-MFA-A-053</t>
  </si>
  <si>
    <t>CR-AGO-I-050</t>
  </si>
  <si>
    <t>Duadze - Kwesil Ansah</t>
  </si>
  <si>
    <t>Clearing,formation,15№ 700X900mm,8№ 900X1200mm and 6.7km sub-base completed.</t>
  </si>
  <si>
    <t>DFR/CR/AAK/RESH/GOG/47/11</t>
  </si>
  <si>
    <t>Dompoase Jn.-Dompoase</t>
  </si>
  <si>
    <t>Eguafo - Pongkromu</t>
  </si>
  <si>
    <t>Amoanda Jn - Amoanda</t>
  </si>
  <si>
    <t>Ankaful Prison - Simiw</t>
  </si>
  <si>
    <t>2565m of 450x450x120mm of U-drain,2№ 700x900mm U-Culvert and 2.0km sub-base and  base,2.0km primer seal and seal completed.</t>
  </si>
  <si>
    <t>DFR/CR/KEEA/GC/GOG/16/10</t>
  </si>
  <si>
    <t>Eshirow Jn - Eshirow</t>
  </si>
  <si>
    <t>Nsanfo - Amissahkrom</t>
  </si>
  <si>
    <t>Kwamankese - Nkwanta</t>
  </si>
  <si>
    <t>FINANCIAL</t>
  </si>
  <si>
    <t>DFR/CR/BRG/GOG/2006/50</t>
  </si>
  <si>
    <t>DFR/CR/SURF/DCRIP/PH2/08/35</t>
  </si>
  <si>
    <t>DFR/CR/SURF/HIPC/08/2</t>
  </si>
  <si>
    <t>1592m of 450x450x120mm U-drain,2№ 700x900mm U-Culvert completed</t>
  </si>
  <si>
    <t>CR-UED-A-034</t>
  </si>
  <si>
    <t>CR-UED-A-037</t>
  </si>
  <si>
    <t>Cest Bonne Const. Ltd.</t>
  </si>
  <si>
    <t>DFR/CR/AAK/RESH/GOG/48/11</t>
  </si>
  <si>
    <t>2No 900x1200mm,10No 700x900mm U-culvert completed</t>
  </si>
  <si>
    <t>14.0km of Grass Cutting and Reshaping completed</t>
  </si>
  <si>
    <t>Sweet City Ent.</t>
  </si>
  <si>
    <t>3No 700x900mm,9No 900x1200mm U-culvert completed</t>
  </si>
  <si>
    <t>Akwakwaa - Ankama</t>
  </si>
  <si>
    <t>CR-AJU-A-033</t>
  </si>
  <si>
    <t>DFR/CR/AS/CFRIP/SI/5B/11</t>
  </si>
  <si>
    <t>DFR/CR/ASN/RESH/GOG/10/5</t>
  </si>
  <si>
    <t>AE</t>
  </si>
  <si>
    <t>Opakoh Ent.</t>
  </si>
  <si>
    <t>16.0km of Grass Cutting and Reshaping completed</t>
  </si>
  <si>
    <t>Ancomec Co. Ltd.</t>
  </si>
  <si>
    <t>AKROMAIN JN - NYAMEKYEMASO</t>
  </si>
  <si>
    <t>Akakyere Ventures Ltd.</t>
  </si>
  <si>
    <t>HEMANG - BAAKONDZIDZI</t>
  </si>
  <si>
    <t>ANTWIKWAA JN - ANTWIKWAA</t>
  </si>
  <si>
    <t>BERTIMOR - ALERT - AGO</t>
  </si>
  <si>
    <t>1№ 900X1200mm,3№ 700X900mm completed.</t>
  </si>
  <si>
    <t>Project Terminated on 21/7/10.</t>
  </si>
  <si>
    <t>Abutment walls completed and bridge lunched</t>
  </si>
  <si>
    <t>Twifo Praso – Bimponso (PhIV)</t>
  </si>
  <si>
    <t xml:space="preserve">Work completed.50% of Retention released </t>
  </si>
  <si>
    <t xml:space="preserve"> DFR/DUTCH/CR/LOT.82/08</t>
  </si>
  <si>
    <t>CR-ASN-C-004</t>
  </si>
  <si>
    <t>ZION NO2 - ZION CAMP</t>
  </si>
  <si>
    <t>15№ 700X900mm,8№ 900X1200mm completed</t>
  </si>
  <si>
    <t xml:space="preserve">Mankata Jn. -  Mankata </t>
  </si>
  <si>
    <t>Kpanyaraga Gh. Ltd.</t>
  </si>
  <si>
    <t>OKUSHIBIADZE - FETTEH</t>
  </si>
  <si>
    <t>ATAABADZE -ABREM AGONA</t>
  </si>
  <si>
    <t>Ebubonko - Dankwakrom</t>
  </si>
  <si>
    <t>Abura-Adwengofom - Harris Hostel</t>
  </si>
  <si>
    <t>2№ 700x900mm U-culverts completed</t>
  </si>
  <si>
    <t xml:space="preserve"> GOMOA BROFO - GOMOA AKROPONG &amp; OTHERS</t>
  </si>
  <si>
    <t>GOMOA BROFO - GOMOA AKROPONG</t>
  </si>
  <si>
    <t>GOMOA AKYEASE - GOMOA MANKESSIM</t>
  </si>
  <si>
    <t>MONTHLY PROGRESS REPORT  FOR DECEMBER 2012</t>
  </si>
  <si>
    <t>8№ 700x900mm,1№ 900x1200mm U-culvert,90m 600x600x150mm and 3857m  450x450x120mm U-drain,42m 1200x200mm Retaining Wall completed</t>
  </si>
  <si>
    <t>2565m of 450x450x120mm of U-drain,2№ 700x900mm U-Culvert completed.</t>
  </si>
  <si>
    <t>6.5km of Grass Cutting and Reshaping completed</t>
  </si>
  <si>
    <t>Gracious Lawrence Ltd.</t>
  </si>
  <si>
    <t>25.7km of Grass Cutting and Reshaping completed</t>
  </si>
  <si>
    <t>Tayedo - Afonakrom - Dadagua</t>
  </si>
  <si>
    <t>Jukwa - Krobo</t>
  </si>
  <si>
    <t>20.9km of Grass Cutting and Reshaping completed</t>
  </si>
  <si>
    <t>Amowi Jn - Amowi</t>
  </si>
  <si>
    <t>5.8km of Grass Cutting  completed</t>
  </si>
  <si>
    <t xml:space="preserve"> Gomoa Kirenkwanta-Mando &amp; Others </t>
  </si>
  <si>
    <t>GW</t>
  </si>
  <si>
    <t>Dygate Gh Ltd.</t>
  </si>
  <si>
    <t>PRASO - BIMPONSO</t>
  </si>
  <si>
    <t>CR-MFA-C-009</t>
  </si>
  <si>
    <t>Apan - Brofoyedur</t>
  </si>
  <si>
    <t>ASN</t>
  </si>
  <si>
    <t>CR-ASN-A-013</t>
  </si>
  <si>
    <t>8.1km of Grass Cutting  completed</t>
  </si>
  <si>
    <t>Kobota Ent.</t>
  </si>
  <si>
    <t>DFR/CR/THLD/RESH/GOG/50/11</t>
  </si>
  <si>
    <t>AMANFUPONG - APERADE</t>
  </si>
  <si>
    <t>AMANFUPONG - NYAMEBEKYERE</t>
  </si>
  <si>
    <t xml:space="preserve"> AMANFUPONG - APERADE &amp; Other </t>
  </si>
  <si>
    <t>CR-LDE-A-048</t>
  </si>
  <si>
    <t>DFR/CR/AN/GC/GOG/08/10</t>
  </si>
  <si>
    <t>Speedway Const. Ltd.</t>
  </si>
  <si>
    <t>Domenase - Duakyimase</t>
  </si>
  <si>
    <t>Asafo - Kwesitwekwa - Fawomanye</t>
  </si>
  <si>
    <t>Gomoa Tarkwa - Abeadze</t>
  </si>
  <si>
    <t>Akyease - Mankesim</t>
  </si>
  <si>
    <t>CR-AGO-I-056</t>
  </si>
  <si>
    <t>DUOTO  - OBREPO</t>
  </si>
  <si>
    <t xml:space="preserve">NKRANKROM JN  - NKRANKROM </t>
  </si>
  <si>
    <t>DUABONE - KWAME SAM JN</t>
  </si>
  <si>
    <t>KOFIKUM - ABAMKROM</t>
  </si>
  <si>
    <t>Cusby &amp; Cusby Ltd.</t>
  </si>
  <si>
    <t>DFR/CR/AE/RESH/GOG/37/12</t>
  </si>
  <si>
    <t>ASAFO - KWESITWIKWAA</t>
  </si>
  <si>
    <t>ASAFO - KWESITWIKWAA &amp; OTHERS</t>
  </si>
  <si>
    <t>CR-AGO-A-002</t>
  </si>
  <si>
    <t>CR-AGO-A-003</t>
  </si>
  <si>
    <t xml:space="preserve">BRAHABEKUMI JN  - BRAHABEKUMI </t>
  </si>
  <si>
    <t>OTABILKWA JN - OTABILKWA</t>
  </si>
  <si>
    <t>NANTIFA - KOKOADO</t>
  </si>
  <si>
    <t>17.9km of Grass Cutting and Reshaping completed</t>
  </si>
  <si>
    <t>DFR/CR/UDE/GC/GOG/25/10</t>
  </si>
  <si>
    <t>10.85km of Grass Cutting  completed</t>
  </si>
  <si>
    <t xml:space="preserve">5.31Ha cleared                                8No. 7x9 U-culvert                                      1No1.2x1.2 U-culvert                                     Double 1.2x1.2 U-culvert                                        1No.1.25x1.8 U-culvert          </t>
  </si>
  <si>
    <t>CR-GOM-A-037</t>
  </si>
  <si>
    <t>25.25km of Grass Cutting and Reshaping completed</t>
  </si>
  <si>
    <t>Hasowodze Jn - Hasowodze</t>
  </si>
  <si>
    <t>Aburi Jn - Aburi</t>
  </si>
  <si>
    <t>Kwesidadzie Jn - Kwesidadzie</t>
  </si>
  <si>
    <t>Ekumfi Potwabeng Jn -  Potwabeng</t>
  </si>
  <si>
    <t xml:space="preserve"> Gyinakuma Jn-Gyinakuma </t>
  </si>
  <si>
    <t>Egyanka - Srafa Kokodo</t>
  </si>
  <si>
    <t>Coky Ent.</t>
  </si>
  <si>
    <t>ASIKUMA - BESEASE</t>
  </si>
  <si>
    <t>EGYIKUMA - AKWEIKROM &amp; OTHER</t>
  </si>
  <si>
    <t>Sung Nuo Co. Ltd.</t>
  </si>
  <si>
    <t>DFR/CR/THLD/RESH/GOG/37/11</t>
  </si>
  <si>
    <t>NUAMAKROM - KENKUASE</t>
  </si>
  <si>
    <t>KENKUASE JN - KENKUASE</t>
  </si>
  <si>
    <t>NUAMAKROM - KENKUASE &amp; OTHER</t>
  </si>
  <si>
    <t>Gudmann Int. Ltd.</t>
  </si>
  <si>
    <t>DFR/CR/THLD/RESH/GOG/29/11</t>
  </si>
  <si>
    <t>CR-LDE-A-004</t>
  </si>
  <si>
    <t>CR-LDE-A-047</t>
  </si>
  <si>
    <t>Knapo Const. Ltd.</t>
  </si>
  <si>
    <t>Debrasko Co. Ltd.</t>
  </si>
  <si>
    <t>Thureve Ltd.</t>
  </si>
  <si>
    <t>Zee Dok Ltd.</t>
  </si>
  <si>
    <t>Rochfords Co. Ltd.</t>
  </si>
  <si>
    <t>Amoh Mensah Co. Ltd.</t>
  </si>
  <si>
    <t>15.0km of Grass Cutting  completed</t>
  </si>
  <si>
    <t>ASSIN NYANKUMASE - JAKAI</t>
  </si>
  <si>
    <t>ROAD LENGTH (KM)</t>
  </si>
  <si>
    <t>DFR/CR/MF/RESH/GOG/10/1</t>
  </si>
  <si>
    <t>Nyamebekyere - Subrisu</t>
  </si>
  <si>
    <t>Akyianu - Anlofuom</t>
  </si>
  <si>
    <t>Bawjiase - Ayensuakwa</t>
  </si>
  <si>
    <t>Askku Ent. Ltd.</t>
  </si>
  <si>
    <t>Sampa Jn - Akropong</t>
  </si>
  <si>
    <t>ABRAFO - BEKAWOPA</t>
  </si>
  <si>
    <t>KENYANKOR - AKOKOASA JN</t>
  </si>
  <si>
    <t>CR-AGO-C-008</t>
  </si>
  <si>
    <t xml:space="preserve">ESSUSU - ABOANO &amp; Other </t>
  </si>
  <si>
    <t>K &amp; J Ventures</t>
  </si>
  <si>
    <t>DFR/CR/AE/RESH/GOG/52/11</t>
  </si>
  <si>
    <t>DFR/CR/AOB/RESH/GOG/51/11</t>
  </si>
  <si>
    <t>FOSUANSA - AMANOR</t>
  </si>
  <si>
    <t>MAHOGO - OFABIR</t>
  </si>
  <si>
    <t>CR-ASI-A-008</t>
  </si>
  <si>
    <t>CR-ASI-A-026</t>
  </si>
  <si>
    <t>DFR/CR/AOB/RESH/GOG/53/11</t>
  </si>
  <si>
    <t>Kobnash Investment</t>
  </si>
  <si>
    <t>Simbrofo Jn - Denkyira</t>
  </si>
  <si>
    <t>Jaysem Co Ltd.</t>
  </si>
  <si>
    <t>1No 2/1800x1800mm,1№ 900X1200mm,4№ 700X900mm U-culvert,700m 450x450x150mm block drain completed.</t>
  </si>
  <si>
    <t>Clearing, formation and 1No 2/1800x1800mm,1№ 900X1200mm,4№ 700X900mm U-culvert,700m 450x450x150mm block drain,sub-base,base,primerseal &amp; seal completed.</t>
  </si>
  <si>
    <t xml:space="preserve"> MINTASO - ADADEKOFI &amp; OTHERS</t>
  </si>
  <si>
    <t>KOTOKYE(TWIFU JUABENG) - ATIASO</t>
  </si>
  <si>
    <t>Ando Adadientem -Adubiase</t>
  </si>
  <si>
    <t>Forstwum Venturs</t>
  </si>
  <si>
    <t>Odoben - Brakwaa</t>
  </si>
  <si>
    <t>Bawjiase - Akufokrodua - Adawuka</t>
  </si>
  <si>
    <t>DFR/CR/THLD/CFRIP PHI/SURF/3A/11</t>
  </si>
  <si>
    <t>Egyanka-Immuna</t>
  </si>
  <si>
    <t>Adansi - Immuna - Srafa Kokodo</t>
  </si>
  <si>
    <t>CR-ASS-A-059</t>
  </si>
  <si>
    <t>1№ 1800x2500mm,4№ 1250x1800mm,2№ 900x1200mm,1№ 700x900mm U-culvert,2№ abutment completed and bridge lunched</t>
  </si>
  <si>
    <t>NKUBEM - AMANBETE &amp; OTHERS</t>
  </si>
  <si>
    <t>DFR/CR/AS/RESH/GOG/7/11</t>
  </si>
  <si>
    <t>CR-ASS-C-034</t>
  </si>
  <si>
    <t>ODUMASE NKRANFOUM - JAPAN BRIDGE</t>
  </si>
  <si>
    <t xml:space="preserve">Steel Bridge on Dunkwa-Nkottomso Jn F/R </t>
  </si>
  <si>
    <t xml:space="preserve">Steel Bridge on Agona Nsaba-Agona Nkran Jn F/R </t>
  </si>
  <si>
    <t>Clearing, formation,4№ 700X900mm,2№ 600X700mm  U-culverts and 3.6km sub-base completed</t>
  </si>
  <si>
    <t>DFR/CR/GW/CFRIP/SURF/12/11</t>
  </si>
  <si>
    <t>AKOTI JN - DESUM</t>
  </si>
  <si>
    <t>7No 700x900mm,1No 900x1200mm U-culvert completed</t>
  </si>
  <si>
    <t>Konasah Ent. Ltd.</t>
  </si>
  <si>
    <t>DFR/CR/UDW/RESH/GOG/46/11</t>
  </si>
  <si>
    <t>Big Ben Eng. Ltd.</t>
  </si>
  <si>
    <t>Awutu Senya</t>
  </si>
  <si>
    <t>West Sunrise Comp. Ltd.</t>
  </si>
  <si>
    <t>Sosthenes Comp. Ltd</t>
  </si>
  <si>
    <t>Roquartco Const. Works</t>
  </si>
  <si>
    <t>Tecson Comp. Ltd.</t>
  </si>
  <si>
    <t>Boabbsons Co Ltd.</t>
  </si>
  <si>
    <t>Altep Ent. Ltd.</t>
  </si>
  <si>
    <t>Asmariate Ent. Ltd.</t>
  </si>
  <si>
    <t>Kyeakor - Akropong</t>
  </si>
  <si>
    <t>Dominase - Bewura</t>
  </si>
  <si>
    <t xml:space="preserve">CR-LDE-C-005 </t>
  </si>
  <si>
    <t>Bontrase - Dasum</t>
  </si>
  <si>
    <t>Betimor-Nyameyeadom</t>
  </si>
  <si>
    <t>DFR/CR/AS/CFRIP PHI/SURF/5B/11</t>
  </si>
  <si>
    <t>TEGYAMOSO JN - TEGYAMOSO &amp; OTHERS</t>
  </si>
  <si>
    <t>CR-UED-A-044</t>
  </si>
  <si>
    <t>CR-UED-A-047</t>
  </si>
  <si>
    <t>Ekumpoano Jn - Ekumpoano</t>
  </si>
  <si>
    <t>Amplicon Ent.</t>
  </si>
  <si>
    <t>DFR/CR/AS/RESH/GOG/4/11</t>
  </si>
  <si>
    <t>TUMFOKOR - BANKYASE JN</t>
  </si>
  <si>
    <t>Clearing,6№ 700x900mm and 1№ 1200x1200mm U culvert,250m 450x450x150mm U- drain,200m of stone line drain &amp; sub-base  completed</t>
  </si>
  <si>
    <t>CR-UED-A-064</t>
  </si>
  <si>
    <t>CR-UED-A-027</t>
  </si>
  <si>
    <t>CR-UED-A-029</t>
  </si>
  <si>
    <t>CR-UED-A-025</t>
  </si>
  <si>
    <t>CR-UED-A-052</t>
  </si>
  <si>
    <t>Subtantially completed</t>
  </si>
  <si>
    <t>DFR/CR/SURF/DCRIP/PH/08/34</t>
  </si>
  <si>
    <t>CR-MFA-A-051</t>
  </si>
  <si>
    <t>Abutment walls complete.Road approaches partially filled.Steel Components lunched.</t>
  </si>
  <si>
    <t>DFR/CR/BRG/DUTCH/08/83</t>
  </si>
  <si>
    <t>DFR/CR/BRG/DUTCH/08/80</t>
  </si>
  <si>
    <t>DFR/CR/AS/GC/GOG/12/10</t>
  </si>
  <si>
    <t>11.80km of Grass Cutting and Reshaping completed</t>
  </si>
  <si>
    <t>CR-ASI-A-029</t>
  </si>
  <si>
    <t>GKL Ltd.</t>
  </si>
  <si>
    <t>Kyiren Nkwanta Jn - Mando</t>
  </si>
  <si>
    <t>DFR/CR/GW/SURF/GOG/1/12</t>
  </si>
  <si>
    <t>CR-MFA-C-075</t>
  </si>
  <si>
    <t>CR-MFA-A-026</t>
  </si>
  <si>
    <t>CR-MFA-C-057</t>
  </si>
  <si>
    <t>CR-ASS-A-017</t>
  </si>
  <si>
    <t>Jen &amp; Vince Co. Ltd.</t>
  </si>
  <si>
    <t>CR-AGO-A-001</t>
  </si>
  <si>
    <t>CR-AGO-A-021</t>
  </si>
  <si>
    <t>DFR/CR/MFA/IDA/TSP/NCB/W-4/SI/LOT 11/2011</t>
  </si>
  <si>
    <t>DFR/CR/THLD/IDA/TSP/NCB/W-4/SI/LOT 1/2011</t>
  </si>
  <si>
    <t>Clearing,formation,13№ 700X900mm and 2№ 900X1200mm completed.</t>
  </si>
  <si>
    <t>13№ 700X900mm and 2№ 900X1200mm completed.</t>
  </si>
  <si>
    <t>DFR/CR/SURF/CRIP/PH3/08/5</t>
  </si>
  <si>
    <t>DFR/CR/SURF/CRIP/PH3/08/6</t>
  </si>
  <si>
    <t>Nkwantanum-Asaman F/R PH 1</t>
  </si>
  <si>
    <t>Nkwantanum-Asaman F/R PH 3</t>
  </si>
  <si>
    <t>HEMANG-PAASO - ABAKA NKWANTA</t>
  </si>
  <si>
    <t>BETIMOR - NYAMEYEDOM</t>
  </si>
  <si>
    <t xml:space="preserve"> Kwamewatey-Bosomaben &amp; Others </t>
  </si>
  <si>
    <t>DFR/CR/AS/RESH/GOG/10/16</t>
  </si>
  <si>
    <t>Kwamewatey-Bosomaben</t>
  </si>
  <si>
    <t>CR-AES-C-032</t>
  </si>
  <si>
    <t>Osimpo - Akraman</t>
  </si>
  <si>
    <t>Ahintia - Kasoa</t>
  </si>
  <si>
    <t>CR-AES-C-035</t>
  </si>
  <si>
    <t>DFR/CR/AS/RESH/GOG/10/17</t>
  </si>
  <si>
    <t xml:space="preserve">MINISTRY OF AGRIC JN - BUNGALOW </t>
  </si>
  <si>
    <t>GYNABODIE JN - NYANKOMASE</t>
  </si>
  <si>
    <t>Zigma Gh Ltd.</t>
  </si>
  <si>
    <t>DFR/CR/AS/RESH/GOG/8/12</t>
  </si>
  <si>
    <t>DFR/CR/AS/RESH/GOG/9/12</t>
  </si>
  <si>
    <t>Daess Const. Ltd.</t>
  </si>
  <si>
    <t>ONGUA - SARGENTKROM</t>
  </si>
  <si>
    <t>KYINSO - GYINABODIE &amp; OTHER</t>
  </si>
  <si>
    <t>KYINSO - GYINABODIE</t>
  </si>
  <si>
    <t>TUAKWA JN - AGYEMPOMA</t>
  </si>
  <si>
    <t>CR-ASS-A-013</t>
  </si>
  <si>
    <t>A.A.D. Gh Ltd.</t>
  </si>
  <si>
    <t>DFR/CR/AS/RESH/GOG/10/12</t>
  </si>
  <si>
    <t>ASSIN AKROFROM - ASIBIREM &amp; OTHERS</t>
  </si>
  <si>
    <t>ASSIN AKROFROM - ASIBIREM</t>
  </si>
  <si>
    <t>CR-ASS-C-029</t>
  </si>
  <si>
    <t>Recommended for termination to Head Office on 8/02/11</t>
  </si>
  <si>
    <t xml:space="preserve"> Fianko-Asuetene &amp; Others</t>
  </si>
  <si>
    <t>DFR/CR/EMQAP/12/NCB/LOT 5</t>
  </si>
  <si>
    <t>Essaakyire - Gomoa Maim</t>
  </si>
  <si>
    <t>10.3km of Grass Cutting and Reshaping completed</t>
  </si>
  <si>
    <t xml:space="preserve">SEKANBODUA JN - SEKANBODUA </t>
  </si>
  <si>
    <t>GANGAN - ANKAA</t>
  </si>
  <si>
    <t>CR-ASN-A-036</t>
  </si>
  <si>
    <t>CR-ASN-A-008</t>
  </si>
  <si>
    <t>Tonymax Const. Ltd.</t>
  </si>
  <si>
    <t>DFR/CR/AS/RESH/GOG/14/12</t>
  </si>
  <si>
    <t>ATONSU - NYAMYENAM &amp; OTHERS</t>
  </si>
  <si>
    <t>ATONSU - NYAMYENAM</t>
  </si>
  <si>
    <t>ASSIN FOSU - ANKAASE BUSH</t>
  </si>
  <si>
    <t>CR-ASN-A-042</t>
  </si>
  <si>
    <t>ASSIN FOSU - ODUMASI</t>
  </si>
  <si>
    <t>Chrispoint Ltd.</t>
  </si>
  <si>
    <t>DFR/CR/AS/RESH/GOG/15/12</t>
  </si>
  <si>
    <t>24.0km of Grass Cutting and Reshaping completed</t>
  </si>
  <si>
    <t>DFR/CR/AN/GC/GOG/03/10</t>
  </si>
  <si>
    <t>12No 700x900mm completed</t>
  </si>
  <si>
    <t>7.4km of Grass Cutting and Reshaping completed</t>
  </si>
  <si>
    <t>6.75km of Grass Cutting and Reshaping completed</t>
  </si>
  <si>
    <t>DUNKWA - NKOTOMSO PH 2</t>
  </si>
  <si>
    <t>ASIKUMA - AKWABOA</t>
  </si>
  <si>
    <t>ASIKUMA - AKWABOA Ph 2</t>
  </si>
  <si>
    <t>DFR/CR/UDE/RESH/GOG/19/11</t>
  </si>
  <si>
    <t>J. K. BONNEY CONT WKS.</t>
  </si>
  <si>
    <t>SALAMBA AGENCIES</t>
  </si>
  <si>
    <t>STRATEGIC HERITAGE SERVICES LTD</t>
  </si>
  <si>
    <t>18.8km of Grass Cutting and Reshaping completed</t>
  </si>
  <si>
    <t>Otsewew - Gomoa Lome</t>
  </si>
  <si>
    <t>DFR/CR/AS/RESH/GOG/5/11</t>
  </si>
  <si>
    <t>BROFOYEDUR - GOMOA ASSIN</t>
  </si>
  <si>
    <t>Antonopos Ltd.</t>
  </si>
  <si>
    <t>DFR/CR/GW/RESH/GOG/67/12</t>
  </si>
  <si>
    <t>ATEITU - WINNEBA</t>
  </si>
  <si>
    <t>CR-AES-C-050</t>
  </si>
  <si>
    <t>CR-AES-A-037</t>
  </si>
  <si>
    <t>Essandohkrom Jn - Essandohkrom</t>
  </si>
  <si>
    <t>Kokwado Jn-Odumase</t>
  </si>
  <si>
    <t>Nyamedom - Kokwado</t>
  </si>
  <si>
    <t>Nsien Jn - Nsien</t>
  </si>
  <si>
    <t>Moree Jn-Moree</t>
  </si>
  <si>
    <t>Amosima - Mensah</t>
  </si>
  <si>
    <t>20.0km of Grass Cutting and Reshaping completed.</t>
  </si>
  <si>
    <t>NKY Const. Ltd.</t>
  </si>
  <si>
    <t>Ando-Adadientem-Adubiase</t>
  </si>
  <si>
    <t>DOMINASE-CHARLESKROM</t>
  </si>
  <si>
    <t>CR-UED-I-002</t>
  </si>
  <si>
    <t>8.0km of Grass Cutting  completed</t>
  </si>
  <si>
    <t>CR-ASN-A-001</t>
  </si>
  <si>
    <t>REVISED CONTRACT SUM</t>
  </si>
  <si>
    <t>Clearing,Formation,4№700X900mm and 1№900X1200mm completed</t>
  </si>
  <si>
    <t>CR-AAK-C-017</t>
  </si>
  <si>
    <t>Konasah Ent Ltd.</t>
  </si>
  <si>
    <t>20.85km of Grass Cutting and Reshaping completed</t>
  </si>
  <si>
    <t>CR-LDE-A-063</t>
  </si>
  <si>
    <t>19.2km of Grass Cutting and Reshaping completed</t>
  </si>
  <si>
    <t>Nu-Skin Ltd.</t>
  </si>
  <si>
    <t>EGYINKUMA - AKWEIKROM</t>
  </si>
  <si>
    <t>EKURAKESE JN - EKURAKESE</t>
  </si>
  <si>
    <t>6.3km of Grass Cutting  completed</t>
  </si>
  <si>
    <t>ODUMASE - NKUKUASA</t>
  </si>
  <si>
    <t>DFR/CR/AN/GC/GOG/35/10</t>
  </si>
  <si>
    <t>CR-AGO-C-036</t>
  </si>
  <si>
    <t>DUABONE - PAASO</t>
  </si>
  <si>
    <t>OBOSOMASE - ASANKWA</t>
  </si>
  <si>
    <t>ATAABADZE JN - ABREM AGONA</t>
  </si>
  <si>
    <t>G.K. Appiah &amp; Sons Ltd.</t>
  </si>
  <si>
    <t>DFR/CR/SPANISH/09/09</t>
  </si>
  <si>
    <t>DFR/CR/SPANISH/09/10</t>
  </si>
  <si>
    <t>Tweapease Jn - Tweapease</t>
  </si>
  <si>
    <t>12.7km of Grass Cutting and Reshaping completed</t>
  </si>
  <si>
    <t>DFR/CR/ACROW/09/14</t>
  </si>
  <si>
    <t>BUNGALOW - DONKORKROM</t>
  </si>
  <si>
    <t>DFR/CR/AS/RESH/GOG/16/12</t>
  </si>
  <si>
    <t xml:space="preserve"> NKWANKYEMANSO - NUANUA &amp; OTHER</t>
  </si>
  <si>
    <t>B-Molie Ent. Ltd.</t>
  </si>
  <si>
    <t>DFR/CR/THLD/RESH/GOG/58/12</t>
  </si>
  <si>
    <t xml:space="preserve">GYANKOBO - NSUTEM &amp; OTHER </t>
  </si>
  <si>
    <t>GYANKOBO - NSUTEM</t>
  </si>
  <si>
    <t xml:space="preserve">ANTWIKWAA JN - ANTWIKWAA </t>
  </si>
  <si>
    <t>Silversteps Co. Ltd.</t>
  </si>
  <si>
    <t>DFR/CR/THLD/RESH/GOG/59/12</t>
  </si>
  <si>
    <t>CONST. OF SPEED RAMPS ON SENYA TOWN ROADS PH III</t>
  </si>
  <si>
    <t>AWS</t>
  </si>
  <si>
    <t>Veb-bu Ent.</t>
  </si>
  <si>
    <t>DFR/CR/AWS/RESH/GOG/22/12</t>
  </si>
  <si>
    <t>ANOMABO - BANDO &amp; OTHERS</t>
  </si>
  <si>
    <t>ANOMABO - BANDO</t>
  </si>
  <si>
    <t>OGOEKROM  - OGOEKROM JN</t>
  </si>
  <si>
    <t>OBOADZE - KANKABOM</t>
  </si>
  <si>
    <t>ANOMANSA JN - OGOEKROM</t>
  </si>
  <si>
    <t>CR-MFA-C-033</t>
  </si>
  <si>
    <t>CR-MFA-C-035</t>
  </si>
  <si>
    <t>Sanekambala Co. Ltd.</t>
  </si>
  <si>
    <t>DFR/CR/MF/RESH/GOG/31/12</t>
  </si>
  <si>
    <t xml:space="preserve">8No. 7x9 U-culvert,1No1.2x1.2 U-culvert ,2/1.2x1.2 U-culvert and 1No.1.25x1.8 U-culvert completed          </t>
  </si>
  <si>
    <t>Subtantially Completed</t>
  </si>
  <si>
    <t>Anlo  Jn.-Anlo Beach</t>
  </si>
  <si>
    <t>3№ 700X900mm U-culvert,150m 450x450x150mm U- drain,200m kerb &amp; extention of 1No 600mm pipe culvert  completed.</t>
  </si>
  <si>
    <t>21.4km of Grass Cutting and Reshaping completed</t>
  </si>
  <si>
    <t xml:space="preserve">Project substantially completed on 5/5/2008.                                                                                               </t>
  </si>
  <si>
    <t>12.0km of Grass Cutting  completed</t>
  </si>
  <si>
    <t>DFR/CR/AN/GC/GOG/09/10</t>
  </si>
  <si>
    <t>DFR/CR/AN/GC/GOG/05/10</t>
  </si>
  <si>
    <t>CR-KEE-A-022</t>
  </si>
  <si>
    <t>CR-KEE-A-025</t>
  </si>
  <si>
    <t>CR-KEE-A-002</t>
  </si>
  <si>
    <t>CR-KEE-A-027</t>
  </si>
  <si>
    <t>CR-KEE-A-012</t>
  </si>
  <si>
    <t>CR-AAK-I-032</t>
  </si>
  <si>
    <t>CR-AAK-A-035</t>
  </si>
  <si>
    <t>CR-AAK-A-036</t>
  </si>
  <si>
    <t>PAPAGYA - TSETSEKASUM</t>
  </si>
  <si>
    <t>1592m of 450x450x120mm U-drain,2№ 700x900mm U-Culvert, 2.0km of sub-base, base,primer seal &amp; seal completed.</t>
  </si>
  <si>
    <t>Work in Progress</t>
  </si>
  <si>
    <t>Recommended for termination to Head office on 4/2/08</t>
  </si>
  <si>
    <t>2No 700x900mm, U-culvert completed</t>
  </si>
  <si>
    <t>Bawjiase-Amontrom (Congo)-Tetteykura</t>
  </si>
  <si>
    <t>Skarom Eng. Ltd.</t>
  </si>
  <si>
    <t>Ahentia-Busumabra Jtn-Kweikrom</t>
  </si>
  <si>
    <t>Adawukwa-Ofadjator-Honi</t>
  </si>
  <si>
    <t>Paabadu Const. Ltd.</t>
  </si>
  <si>
    <t>DFR/CR/IDA/TSP/NCB/W-4/SI/LOT 6/2012</t>
  </si>
  <si>
    <t>Osaekrodua - George Farms</t>
  </si>
  <si>
    <t>DFR/CR/AWS/EMQAP/12/NCB/LOT 6</t>
  </si>
  <si>
    <t>Opembo - Peelco Farms</t>
  </si>
  <si>
    <t>Fianko-Asuetene</t>
  </si>
  <si>
    <t>Okwabena - Ofaso</t>
  </si>
  <si>
    <t>CR-AES-C-012</t>
  </si>
  <si>
    <t>Adawukwa - Fianko</t>
  </si>
  <si>
    <t>Mofrakrom Jn - Mofrakrom</t>
  </si>
  <si>
    <t>CR-AES-A-010</t>
  </si>
  <si>
    <t>8.6km of Grass Cutting and Reshaping completed</t>
  </si>
  <si>
    <t>CR-MFA-A-001</t>
  </si>
  <si>
    <t>DFR/CR/MF/RESH/GOG/10/2</t>
  </si>
  <si>
    <t>29.8km of Grass Cutting and Reshaping completed</t>
  </si>
  <si>
    <t>Gyinabodie Jn-Nyankomase</t>
  </si>
  <si>
    <t>Fanti Nyankomase - Obosomase</t>
  </si>
  <si>
    <t>Steel Bridge over River Aklakpa on Adugyaa - Kotokrom F/R</t>
  </si>
  <si>
    <t>Jonokie Ltd.</t>
  </si>
  <si>
    <t>Asabea Eng. Wks. Ltd.</t>
  </si>
  <si>
    <t>Enum Jn - Donkorkrom</t>
  </si>
  <si>
    <t>Assin Swedru - Adukwaku</t>
  </si>
  <si>
    <t>DEPARTMENT OF FEEDER ROADS</t>
  </si>
  <si>
    <t>Work in progress</t>
  </si>
  <si>
    <t>CONTRACT NAME</t>
  </si>
  <si>
    <t>PROJECT LOCATION (DISTRICT)</t>
  </si>
  <si>
    <t>CONTRACTOR</t>
  </si>
  <si>
    <t>ASSIN SOUTH</t>
  </si>
  <si>
    <t>CONTRACT SUM (GH¢)</t>
  </si>
  <si>
    <t>PHYSICAL</t>
  </si>
  <si>
    <t>KROFU JN - EWOYAA JN</t>
  </si>
  <si>
    <t xml:space="preserve">ANTAADZE JN - ANTAADZE </t>
  </si>
  <si>
    <t>KROFU - KRAMPAKROM JN</t>
  </si>
  <si>
    <t>CR-KEE-A-005</t>
  </si>
  <si>
    <t>CR-AAK-C-056</t>
  </si>
  <si>
    <t>CR-AAK-C-043</t>
  </si>
  <si>
    <t>CR-AAK-C-003</t>
  </si>
  <si>
    <t>CR-AAK-A-041</t>
  </si>
  <si>
    <t>CR-AAK-A-033</t>
  </si>
  <si>
    <t>CR-AAK-A-034</t>
  </si>
  <si>
    <t>CR-AAK-A-045</t>
  </si>
  <si>
    <t>CR-AAK-C-010</t>
  </si>
  <si>
    <t>DFR/CR/AEE/RF/LB/LOT 15/10</t>
  </si>
  <si>
    <t>DFR/CR/AN/RF/LB/LOT 17/10</t>
  </si>
  <si>
    <t>GYABANKROM - KWAMANKESE</t>
  </si>
  <si>
    <t>KWAMANKESE - OBORKOR NKWANTA</t>
  </si>
  <si>
    <t>KANKANASE JN - OLD ODONASE</t>
  </si>
  <si>
    <t>Rocky Stream Co. Ltd.</t>
  </si>
  <si>
    <t>DFR/CR/AAK/RESH/GOG/42/12</t>
  </si>
  <si>
    <t>ABAKRAMPA JN - OKYIREKU</t>
  </si>
  <si>
    <t>P. F. K. Const. Wks.</t>
  </si>
  <si>
    <t>DFR/CR/AAK/RESH/GOG/43/12</t>
  </si>
  <si>
    <t>ABURA DENKYIRA - ABAKRAMPA</t>
  </si>
  <si>
    <t>PRA EWUSI - EKROFUL</t>
  </si>
  <si>
    <t>TAYEDO - EKROFUL</t>
  </si>
  <si>
    <t>NKRAMOFOKROM - AMOANDA</t>
  </si>
  <si>
    <t>DFR/CR/AAK/RESH/GOG/44/12</t>
  </si>
  <si>
    <t>13.5km of Grass Cutting and Reshaping completed</t>
  </si>
  <si>
    <t>1No 900x1200mm,1No 700x900mm U- culvert,400m of 450x450x120mm Conc U-drains,190m Kerbs  completed</t>
  </si>
  <si>
    <t xml:space="preserve">ASAMAN JN - ASAMAN </t>
  </si>
  <si>
    <t>DFR/CR/AAK/RESH/GOG/45/12</t>
  </si>
  <si>
    <t>ASEBU - BIRIMSO WATER WORKS &amp; OTHERS</t>
  </si>
  <si>
    <t>ASEBU - BIRIMSO WATER WORKS</t>
  </si>
  <si>
    <t>CR-AAK-A-021</t>
  </si>
  <si>
    <t>CR-AAK-A-022</t>
  </si>
  <si>
    <t>CR-AAK-I-020</t>
  </si>
  <si>
    <t xml:space="preserve">NFRAMANDWE JN - NFRAMANDWE </t>
  </si>
  <si>
    <t>OLD EBU JN - BREBEA</t>
  </si>
  <si>
    <t>DFR/CR/IDA/TSP/NCB/W-4/REH/LOT 5/2012</t>
  </si>
  <si>
    <t>DFR/CR/IDA/TSP/NCB/W-4/REH/LOT 4/2012</t>
  </si>
  <si>
    <t>DFR/CR/IDA/TSP/NCB/W-4/REH/LOT 3/2012</t>
  </si>
  <si>
    <t>DFR/CR/IDA/TSP/NCB/W-4/REH/LOT 2/2012</t>
  </si>
  <si>
    <t>Bontrase-Desum</t>
  </si>
  <si>
    <t>Papaase No.1-Odotom</t>
  </si>
  <si>
    <t>DFR/CR/IDA/TSP/NCB/W-4/SURF/LOT 8/2012</t>
  </si>
  <si>
    <t>DFR/CR/IDA/TSP/NCB/W-4/REH/LOT 9/2012</t>
  </si>
  <si>
    <t>DFR/CR/IDA/TSP/NCB/W-4/REH/LOT 10/2012</t>
  </si>
  <si>
    <t>Kwao Bondze-Larbie-Jei Krodua</t>
  </si>
  <si>
    <t>Lovemak Ventures Ltd.</t>
  </si>
  <si>
    <t>Sankor-Kweikrom-Ojobi-Akoti</t>
  </si>
  <si>
    <t>Bewuanum-Adawukwa</t>
  </si>
  <si>
    <t>DFR/CR/IDA/TSP/NCB/W-4/REH/LOT 7/2012</t>
  </si>
  <si>
    <t>Pra Ewusi - Ekroful</t>
  </si>
  <si>
    <t>Taido-Ekroful</t>
  </si>
  <si>
    <t>Nkramofokrom - Amoanda</t>
  </si>
  <si>
    <t>10.75km of Grass Cutting and Reshaping completed</t>
  </si>
  <si>
    <t xml:space="preserve"> Swedru-Oteipiro-Domokyi &amp; Others </t>
  </si>
  <si>
    <t>DFR/CR/AW/RESH/GOG/10/13</t>
  </si>
  <si>
    <t>ADUBIASE - ANDOE PH II</t>
  </si>
  <si>
    <t>M.A. Benle &amp; Sons  Ltd.</t>
  </si>
  <si>
    <t>DFR/CR/AS/RESH/GOG/13/12</t>
  </si>
  <si>
    <t>CONST. OF SPEED RAMPS ON AWUTU TOWN ROADS PH I</t>
  </si>
  <si>
    <t>Winstar Ltd.</t>
  </si>
  <si>
    <t>DFR/CR/AWS/RESH/GOG/18/12</t>
  </si>
  <si>
    <t>CONST. OF SPEED RAMPS ON AWUTU TOWN ROADS PH II</t>
  </si>
  <si>
    <t>DFR/CR/AWS/RESH/GOG/19/12</t>
  </si>
  <si>
    <t>CONST. OF SPEED RAMPS ON SENYA TOWN ROADS PH I</t>
  </si>
  <si>
    <t>DFR/CR/AWS/RESH/GOG/20/12</t>
  </si>
  <si>
    <t>CONST. OF SPEED RAMPS ON SENYA TOWN ROADS PH II</t>
  </si>
  <si>
    <t>AKUBIFA JN - GYEIKRODUA &amp; OTHERS</t>
  </si>
  <si>
    <t>AKUBIFA JN - GYEIKRODUA</t>
  </si>
  <si>
    <t>GYEIKRODUA - O'LOTOM</t>
  </si>
  <si>
    <t>GYAN NKWANTA - GYAN</t>
  </si>
  <si>
    <t>CR-AES-C-027</t>
  </si>
  <si>
    <t>CR-AES-A-028</t>
  </si>
  <si>
    <t>6No 700x900mm,3No 900x1200mm,1No 1800x1800mm  U-culvert  completed</t>
  </si>
  <si>
    <t>DFR/CR/GE/RESH/GOG/68/12</t>
  </si>
  <si>
    <t>CR-GOM-C-028</t>
  </si>
  <si>
    <t>CR-GOM-C-041</t>
  </si>
  <si>
    <t>DFR/CR/THLD/RESH/GOG/69/12</t>
  </si>
  <si>
    <t>PAASO - NYAMEBEKYERE</t>
  </si>
  <si>
    <t>6№ 700X900mm,3№ 900x1200mm,1№ 2/3,000X3,000mm RBC completed</t>
  </si>
  <si>
    <t>ODUMASE NKRANFOUM - JAPAN BRIDGE &amp; OTHER</t>
  </si>
  <si>
    <t>Musabee Ent.</t>
  </si>
  <si>
    <t>DFR/CR/AN/RESH/GOG/27/11</t>
  </si>
  <si>
    <t>CR-ASN-C-024</t>
  </si>
  <si>
    <t>AYENSUDO - DWABOR</t>
  </si>
  <si>
    <t>Walker Ent. Ltd.</t>
  </si>
  <si>
    <t>CR-KEE-C-020</t>
  </si>
  <si>
    <t>DFR/CR/KEEA/RESH/GOG/40/11</t>
  </si>
  <si>
    <t>AYAASE - KRUWA</t>
  </si>
  <si>
    <t>14.4km of Grass Cutting and Reshaping completed</t>
  </si>
  <si>
    <t>CR-AGO-A-025</t>
  </si>
  <si>
    <t>CR-AGO-I-015</t>
  </si>
  <si>
    <t>CR-GOM-I-021</t>
  </si>
  <si>
    <t>CR-GOM-C-033</t>
  </si>
  <si>
    <t>Dawurampong - Fomena</t>
  </si>
  <si>
    <t>DOKODOKO - ASHIRE ATIEKU &amp; OTHERS</t>
  </si>
  <si>
    <t>DFR/CR/THLD/RESH/GOG/28/11</t>
  </si>
  <si>
    <t>AKROMAIM JN - NKWANKYEMASO</t>
  </si>
  <si>
    <t xml:space="preserve">AKROMAIM JN - NKWANKYEMASO </t>
  </si>
  <si>
    <t xml:space="preserve">Anomabo - Pomase </t>
  </si>
  <si>
    <t>Pomaadze - Oboadze</t>
  </si>
  <si>
    <t>Kyirenkum - Boninsuma</t>
  </si>
  <si>
    <t>Attorkrom Jn- Attorkrom</t>
  </si>
  <si>
    <t>Bukokrom Jn - Ayisikrom</t>
  </si>
  <si>
    <t>Nkura Akyire Jn - Nkura Akyire</t>
  </si>
  <si>
    <t>2№ 700X900mm,595m 450x450x120mm Concrete U drains completed</t>
  </si>
  <si>
    <t>2.7km of Grass Cutting and Reshaping,1№ 700x900mm,1№ 900x1200mm U-culvert,36m of 450x450x120mm,52.6m of 600x600x150mm Conc. U-drain completed</t>
  </si>
  <si>
    <t>Atonsu - Dominase - Nyameyenam</t>
  </si>
  <si>
    <t>Atonsu - Nyameyenam</t>
  </si>
  <si>
    <t>Dwenuama Jn -  Dwenuama</t>
  </si>
  <si>
    <t>13.0km of Grass Cutting and Reshaping completed</t>
  </si>
  <si>
    <t>Masagri Co. Ltd.</t>
  </si>
  <si>
    <t>POTSIN JN - AWOREMBEREW</t>
  </si>
  <si>
    <t>DFR/CR/GE/GC/GOG/15/10</t>
  </si>
  <si>
    <t>Joseph S. Y. Ent.</t>
  </si>
  <si>
    <t>Wawase - Amponsah - Samuel</t>
  </si>
  <si>
    <t>Afranse - Nyarkrom</t>
  </si>
  <si>
    <t>CR-AGO-I-004</t>
  </si>
  <si>
    <t xml:space="preserve"> Amanfor-Namanwor &amp; Others </t>
  </si>
  <si>
    <t>Amanfor - Namanwor</t>
  </si>
  <si>
    <t>CR-UED-A-025/ CR-UED-A-043</t>
  </si>
  <si>
    <t>CR-AJU-I-002</t>
  </si>
  <si>
    <t>CR-GOM-A-003</t>
  </si>
  <si>
    <t>Joyous-Bee Ent.</t>
  </si>
  <si>
    <t>KUMAKROM - KENKUASE</t>
  </si>
  <si>
    <t>Afua Afeiduwa Works</t>
  </si>
  <si>
    <t>PRASO - BIMPONSO PH 2</t>
  </si>
  <si>
    <t xml:space="preserve">Framase  - Kruwaa </t>
  </si>
  <si>
    <t>14.20km of Grass Cutting and Reshaping completed</t>
  </si>
  <si>
    <t>CR-AAK-C-046</t>
  </si>
  <si>
    <t>CR-AAK-C-048</t>
  </si>
  <si>
    <t>CR-AAK-A-047</t>
  </si>
  <si>
    <t>CR-AES-A-017</t>
  </si>
  <si>
    <t>CR-AGO-C-026</t>
  </si>
  <si>
    <t>CR-AES-A-002</t>
  </si>
  <si>
    <t>CR-AES-A-004</t>
  </si>
  <si>
    <t>CR-AES-I-039</t>
  </si>
  <si>
    <t>CR-ASI-C-023</t>
  </si>
  <si>
    <t>CR-ASN-A-041</t>
  </si>
  <si>
    <t>CR-ASN-A-030</t>
  </si>
  <si>
    <t>CR-ASN-C-022</t>
  </si>
  <si>
    <t>CR-ASN-A-043</t>
  </si>
  <si>
    <t>CR-ASN-A-040</t>
  </si>
  <si>
    <t>CR-ASS-I-036</t>
  </si>
  <si>
    <t>CR-ASS-C-001</t>
  </si>
  <si>
    <t>CR-ASS-A-009</t>
  </si>
  <si>
    <t>CR-AES-C-040</t>
  </si>
  <si>
    <t>CR-KEE-I-015</t>
  </si>
  <si>
    <t>CR-LDE-A-007</t>
  </si>
  <si>
    <t>CR-LDE-A-042</t>
  </si>
  <si>
    <t>CR-LDE-I-001</t>
  </si>
  <si>
    <t>CR-LDE-C-003</t>
  </si>
  <si>
    <t>CR-LDE-C-005</t>
  </si>
  <si>
    <t>CR-LDE-A-057</t>
  </si>
  <si>
    <t>CR-LDE-A-050</t>
  </si>
  <si>
    <t>CR-UED-C-015</t>
  </si>
  <si>
    <t>CR-UED-A-012</t>
  </si>
  <si>
    <t xml:space="preserve">5No 700x900mm,3No 900x1200mm,1No 1250x1800mm U-culvert, 1,200m of 450x450x120mm,410m of 600x600x150mm,102m of 900x900x150mm Conc U-drains completed.  </t>
  </si>
  <si>
    <t>Spot Improvement</t>
  </si>
  <si>
    <t>13.3km of Grass Cutting and Reshaping completed</t>
  </si>
  <si>
    <t>DAMSEKROM JN - DAMSEKROM</t>
  </si>
  <si>
    <t>FRAMASE JN - DAMSEKROM JN</t>
  </si>
  <si>
    <t xml:space="preserve">NSENE JN - NSENE &amp; Others </t>
  </si>
  <si>
    <t>Habsal Co. Ltd.</t>
  </si>
  <si>
    <t>CR-ASS-C-019</t>
  </si>
  <si>
    <t>CR-ASS-A-057</t>
  </si>
  <si>
    <t>CR-ASS-A-058</t>
  </si>
  <si>
    <t>CR-ASS-C-021</t>
  </si>
  <si>
    <t>DFR/CR/AS/RESH/GOG/44/11</t>
  </si>
  <si>
    <t>Anyinase-Kayireku-Osenagya F/R PH 2</t>
  </si>
  <si>
    <t>Agona Nsaba Town Roads</t>
  </si>
  <si>
    <t>Assin Fosu Town Roads</t>
  </si>
  <si>
    <t>ABROBEANO JN - ABROBEANO</t>
  </si>
  <si>
    <t>Atekyem - Besease Jn</t>
  </si>
  <si>
    <t>Egya № 2 - Oboadze</t>
  </si>
  <si>
    <t>Gyankobo - Abaka Nkwanta</t>
  </si>
  <si>
    <t>Kotokye - Atiaso</t>
  </si>
  <si>
    <t>Fianko - Openbo</t>
  </si>
  <si>
    <t>Nsueam Jn - Nsueam</t>
  </si>
  <si>
    <t>Anomabu - Nkramofuokrom</t>
  </si>
  <si>
    <t>Anokye - Kuntu</t>
  </si>
  <si>
    <t>Oduman - Akropong</t>
  </si>
  <si>
    <t>Anwiom Jn - Beposo</t>
  </si>
  <si>
    <t>Clearing,formation,2№ 700X900mm,1№ 900X1200mm,2№ 1250X1800mm completed.</t>
  </si>
  <si>
    <t>Annointed Star &amp; Trd. Ltd.</t>
  </si>
  <si>
    <t>DFR/CR/AS/RESH/GOG/1/11</t>
  </si>
  <si>
    <t>ZION CAMP JN - BONINSUMA</t>
  </si>
  <si>
    <t>11.1km of Grass Cutting and Reshaping completed</t>
  </si>
  <si>
    <t>6.0km of Grass Cutting and Reshaping completed</t>
  </si>
  <si>
    <t>DFR/CR/AN/GC/GOG/10/10</t>
  </si>
  <si>
    <t>5.7km of Grass Cutting  completed</t>
  </si>
  <si>
    <t>CR-AJU-C-004</t>
  </si>
  <si>
    <t>CR-AJU-C-005</t>
  </si>
  <si>
    <t>CR-KEE-A-018</t>
  </si>
  <si>
    <t>Rehabilitation</t>
  </si>
  <si>
    <t>Asuansi - Okyeriku</t>
  </si>
  <si>
    <t>DFR/CR/AS/RF/LB/LOT 14/10</t>
  </si>
  <si>
    <t>Jonsab Ent. Ltd.</t>
  </si>
  <si>
    <t>DFR/CR/THLD/RESH/GOG/31/11</t>
  </si>
  <si>
    <t>CR-LDE-A-071</t>
  </si>
  <si>
    <t>CR-LDE-A-072</t>
  </si>
  <si>
    <t>CR-LDE-A-073</t>
  </si>
  <si>
    <t>AMOAMAN - ASAMAN</t>
  </si>
  <si>
    <t>6No 700x900mm,2No 900x1200mm,1No 2/1800x1800mm U-culvert completed</t>
  </si>
  <si>
    <t>18No 700x900mm U- culvert,220m 600x600x150mm,212m 900x900x150mm Conc U-drains  completed</t>
  </si>
  <si>
    <t>5No 700x900mm,1No 1250x1800mm U-culvert,300m 450x450x120mm,690m 600x600x150mm Conc U-drains completed.</t>
  </si>
  <si>
    <t>CR-GOM-I-047</t>
  </si>
  <si>
    <t>CR-GOM-A-004</t>
  </si>
  <si>
    <t>Gomoa West</t>
  </si>
  <si>
    <t>CR-GOM-I-022</t>
  </si>
  <si>
    <t>Theokalma Ent.</t>
  </si>
  <si>
    <t>Sosotek Ltd.</t>
  </si>
  <si>
    <t>4№ 700X900mm,1№ 900X1200mm,1№ 1200X1200mm,1№ 1250X1800mm completed.</t>
  </si>
  <si>
    <t>CR-UED-C-062</t>
  </si>
  <si>
    <t>CR-AES-A-019</t>
  </si>
  <si>
    <t>CR-AES-C-023</t>
  </si>
  <si>
    <t>30.30km of Grass Cutting and Reshaping completed.</t>
  </si>
  <si>
    <t>Bobikuma - Kuntenase</t>
  </si>
  <si>
    <t>CR-MFA-C-034</t>
  </si>
  <si>
    <t>CR-MFA-C-064</t>
  </si>
  <si>
    <t>CR-MFA-A-030</t>
  </si>
  <si>
    <t>CR-MFA-A-042</t>
  </si>
  <si>
    <t>CR-MFA-C-041</t>
  </si>
  <si>
    <t>CR-MFA-A-040</t>
  </si>
  <si>
    <t>CR-MFA-C-076</t>
  </si>
  <si>
    <t>CR-KEE-C-044</t>
  </si>
  <si>
    <t>CR-KEE-C-034</t>
  </si>
  <si>
    <t>CR-KEE-A-033</t>
  </si>
  <si>
    <t>Work completed</t>
  </si>
  <si>
    <t>AAK</t>
  </si>
  <si>
    <t>19.0km of Grass Cutting and Reshaping completed</t>
  </si>
  <si>
    <t>7.1km of Grass Cutting and Reshaping completed</t>
  </si>
  <si>
    <t>Steel Bridge on River Ochi on Assin Dawumako Jn-Assin Dawumako</t>
  </si>
  <si>
    <t xml:space="preserve">Steel Bridge on Dorkodoko-Otukrom F/R </t>
  </si>
  <si>
    <t>Wiamoa - Ekroful</t>
  </si>
  <si>
    <t>Agona West</t>
  </si>
  <si>
    <t>Edukrom-Amosima</t>
  </si>
  <si>
    <t>Abakrampa-Batanyia</t>
  </si>
  <si>
    <t>11.5km of Grass Cutting and Reshaping completed</t>
  </si>
  <si>
    <t>Akonfudi-Camp-Appolinningo F/R PH 2</t>
  </si>
  <si>
    <t>Kyekyewere-Kumakrom F/R PH 1</t>
  </si>
  <si>
    <t>Slow progress. Third Warning letter given on 2/10/12</t>
  </si>
  <si>
    <t>Boferase - Kwesi Paintsil PH 4</t>
  </si>
  <si>
    <t>Asempaneye-Kushea PH 1</t>
  </si>
  <si>
    <t>Akatakyi Jn - Akatakyi</t>
  </si>
  <si>
    <t>DFR/CR/AS/RESH/GOG/10/15</t>
  </si>
  <si>
    <t>AS</t>
  </si>
  <si>
    <t xml:space="preserve"> Mfadwen Jn-Bonrase</t>
  </si>
  <si>
    <t>CR-AES-C-025</t>
  </si>
  <si>
    <t>Hans Cottage - Ebu</t>
  </si>
  <si>
    <t>Old Ebu - Abuenu</t>
  </si>
  <si>
    <t>CR-AAK-A-024</t>
  </si>
  <si>
    <t>Kwesi Gyan - Opesease</t>
  </si>
  <si>
    <t>Mfuom - Apokwaa - Onomakwa</t>
  </si>
  <si>
    <t>Clearing,1,120m 450x450x120mm U-drain,5.0km sub-base ,base,primerseal &amp; seal completed</t>
  </si>
  <si>
    <t>Tescon Ltd.</t>
  </si>
  <si>
    <t>Amana Supply &amp; Const. Works</t>
  </si>
  <si>
    <t>Ceebag Co. Ltd.</t>
  </si>
  <si>
    <t>8.6km of Grass Cutting  completed</t>
  </si>
  <si>
    <t>CR-GOM-C-048</t>
  </si>
  <si>
    <t>PROJECT NAME</t>
  </si>
  <si>
    <t>Manford-Wheda</t>
  </si>
  <si>
    <t>CR-GOM-A-017</t>
  </si>
  <si>
    <t>Manso Jn - Gomoa Oguaa</t>
  </si>
  <si>
    <t>1No 700x900mm,3No 900x1200mm U-culvert ,300m of 450x450x120mm Conc U-drains completed</t>
  </si>
  <si>
    <t>FEYENORD JN - FEYENORD</t>
  </si>
  <si>
    <t>FETTEH KAKRABA - NKWANTANAN</t>
  </si>
  <si>
    <t>AKRAMPA JN - AKRAMPA</t>
  </si>
  <si>
    <t>KWEIKROM - OKUSIBIADZE &amp; OTHERS</t>
  </si>
  <si>
    <t>E. Speedway Const. Ltd.</t>
  </si>
  <si>
    <t>CR-AES-C-045</t>
  </si>
  <si>
    <t>CR-AES-C-052</t>
  </si>
  <si>
    <t>CR-GOM-A-055</t>
  </si>
  <si>
    <t>CR-AES-C-048</t>
  </si>
  <si>
    <t>DFR/CR/GE/RESH/GOG/9/11</t>
  </si>
  <si>
    <t>WAWASE - ATWEREBOANDA</t>
  </si>
  <si>
    <t>WAWASE - AYEBISHWE</t>
  </si>
  <si>
    <t>WAWASE - ATWEREBOANDA &amp; OTHER</t>
  </si>
  <si>
    <t>Walterduam Ent. Ltd.</t>
  </si>
  <si>
    <t>DFR/CR/THLD/RESH/GOG/32/11</t>
  </si>
  <si>
    <t>CR-LDE-C-053</t>
  </si>
  <si>
    <t>CR-LDE-C-054</t>
  </si>
  <si>
    <t>CR-ASN-C-023</t>
  </si>
  <si>
    <t>CR-ASN-A-038</t>
  </si>
  <si>
    <t>CR-ASN-A-014</t>
  </si>
  <si>
    <t>CR-ASS-I-044</t>
  </si>
  <si>
    <t>CR-AAK-A-012</t>
  </si>
  <si>
    <t>Clearing,  2.0km of ditching and camber,10№ 700x900mm 'U' culverts completed.</t>
  </si>
  <si>
    <t>Second Warning letter given on 17/01/11.</t>
  </si>
  <si>
    <t>Baifikrom - Dominase</t>
  </si>
  <si>
    <t>Nsanfo - Nsaadze</t>
  </si>
  <si>
    <t>1№ 2/1800mm x1800mm completed.</t>
  </si>
  <si>
    <t xml:space="preserve">WAAKROM JN - WAAKROM </t>
  </si>
  <si>
    <t>AKATAKYIWA JN  - AKATAKYIWA</t>
  </si>
  <si>
    <t xml:space="preserve">EGYIREFA JN - EGYIREFA </t>
  </si>
  <si>
    <t>AKOANSO - EKROFUL</t>
  </si>
  <si>
    <t>NSABAA - NYARKROM &amp; OTHERS</t>
  </si>
  <si>
    <t>NSABAA - NYARKROM</t>
  </si>
  <si>
    <t>NINTA  - OFOASE</t>
  </si>
  <si>
    <t>NINTA - NAMPONG</t>
  </si>
  <si>
    <t>KWESIKUM - DUABONE</t>
  </si>
  <si>
    <t>CR-AGO-C-006</t>
  </si>
  <si>
    <t>CR-AGO-C-029</t>
  </si>
  <si>
    <t>Kaleb Access Ltd.</t>
  </si>
  <si>
    <t>BOBIKUMA - KUNTUNASE</t>
  </si>
  <si>
    <t>CR-KEE-A-023</t>
  </si>
  <si>
    <t>3№ 700X900mm,1№ 900X1200mm U-Culvert completed.</t>
  </si>
  <si>
    <t>Baakondzidzi - Oppongso</t>
  </si>
  <si>
    <t>Brukusu-Nyamebekyere</t>
  </si>
  <si>
    <t>CR-KEE-C-036</t>
  </si>
  <si>
    <t xml:space="preserve"> Ebukrom Jn-Hemang &amp; Others </t>
  </si>
  <si>
    <t>Kissi - Atekyem</t>
  </si>
  <si>
    <t>Work completed. 50% of retention released on 14/12/11</t>
  </si>
  <si>
    <t>Nantifa - Tawora - Kokwado</t>
  </si>
  <si>
    <t>DFR/CR/UDE/IDA/TSP/NCB/W-4/SI/LOT 10/2011</t>
  </si>
  <si>
    <t>DFR/CR/AN/IDA/TSP/NCB/W-4/SI/LOT 13/2011</t>
  </si>
  <si>
    <t>Project terminated on 6/2/13</t>
  </si>
  <si>
    <t>CR-AES-C-042</t>
  </si>
  <si>
    <t>CR-KEE-C-014</t>
  </si>
  <si>
    <t>CR-KEE-A-031</t>
  </si>
  <si>
    <t>CR-UED-I-030</t>
  </si>
  <si>
    <t>CR-KEE-A-024</t>
  </si>
  <si>
    <t>CR-KEE-A-032</t>
  </si>
  <si>
    <t>CR-KEE-A-019</t>
  </si>
  <si>
    <t>Komfokrom Jn - Komfokrom</t>
  </si>
  <si>
    <t>Swedru - Otepro F/R</t>
  </si>
  <si>
    <t>Blessedfield Ltd.</t>
  </si>
  <si>
    <t>DFR/CR/AEE/CFRIP/SI/3B/11</t>
  </si>
  <si>
    <t>Nyemebekyere - Ekwamase</t>
  </si>
  <si>
    <t>Josh Yank Ent. Ltd.</t>
  </si>
  <si>
    <t>APPIAKROM DEBISO JN - ESHIEM</t>
  </si>
  <si>
    <t>GOMOA AKROPONG - AKROPONG JN</t>
  </si>
  <si>
    <t>GOMOA MANSO NO.2 JN - OGUAA JN</t>
  </si>
  <si>
    <t>DFR/CR/GW/RESH/GOG/63/12</t>
  </si>
  <si>
    <t>DFR/CR/GW/RESH/GOG/64/12</t>
  </si>
  <si>
    <t>DFR/CR/GW/RESH/GOG/62/12</t>
  </si>
  <si>
    <t>SIMBROFO JN - DENKYIRA &amp; OTHERS</t>
  </si>
  <si>
    <t>SIMBROFO JN - DENKYIRA</t>
  </si>
  <si>
    <t>OGUAN JN - NDUEM</t>
  </si>
  <si>
    <t>OGUAN JN - AJUMAKO</t>
  </si>
  <si>
    <t>DFR/CR/GW/RESH/GOG/65/12</t>
  </si>
  <si>
    <t>AWC Services</t>
  </si>
  <si>
    <t>DFR/CR/GW/RESH/GOG/66/12</t>
  </si>
  <si>
    <t>OGUAA JN - ABEADZE &amp; OTHERS</t>
  </si>
  <si>
    <t>OGUAA JN - ABEADZE</t>
  </si>
  <si>
    <t>GOMOA TARKWA - ABEADZE</t>
  </si>
  <si>
    <t>APAM - BROFOYEDUR JN &amp; OTHERS</t>
  </si>
  <si>
    <t>APAM - BROFOYEDUR JN</t>
  </si>
  <si>
    <t>CR-GOM-A-036</t>
  </si>
  <si>
    <t>GOMOA ABOTSIA JN - GOMOA ABOTSIA</t>
  </si>
  <si>
    <t xml:space="preserve">GOMOA ASEMPANYIN JN - ASEMPANYIN </t>
  </si>
  <si>
    <t>EKUMFI DUNKWA - ATWA JN &amp; OTHERS</t>
  </si>
  <si>
    <t>CR-MFA-C-013</t>
  </si>
  <si>
    <t xml:space="preserve">GYINANKOMA JN - GYINANKOMA </t>
  </si>
  <si>
    <t>GYINANKOMA - ADUASA KOKODO</t>
  </si>
  <si>
    <t>Ark Const Works Ltd.</t>
  </si>
  <si>
    <t>Teranisa Com. Ltd.</t>
  </si>
  <si>
    <t>CR-ASS-C-011</t>
  </si>
  <si>
    <t>CR-ASS-I-018</t>
  </si>
  <si>
    <t>DFR/CR/KEEA/RESH/GOG/10/8</t>
  </si>
  <si>
    <t>Ebukrom Jn-Hemang Jn</t>
  </si>
  <si>
    <t>AES</t>
  </si>
  <si>
    <t>AWARD</t>
  </si>
  <si>
    <t>DATE</t>
  </si>
  <si>
    <t>WORK PERIOD</t>
  </si>
  <si>
    <t>Oguan  Jn - Nduem</t>
  </si>
  <si>
    <t>Oguan Jn - Ajumako</t>
  </si>
  <si>
    <t>% TIME SPENT</t>
  </si>
  <si>
    <t>Excelcon Ltd.</t>
  </si>
  <si>
    <t>TIME DAYS</t>
  </si>
  <si>
    <t>Samoswag Ltd.</t>
  </si>
  <si>
    <t>Ewudzi Ventures</t>
  </si>
  <si>
    <t>ASIKUMA - AKWABOA PH 1</t>
  </si>
  <si>
    <t>BROFREASE JN - KWETUA &amp; OTHERS</t>
  </si>
  <si>
    <t>BROFREASE JN - KWETUA</t>
  </si>
  <si>
    <t>CR-AGO-C-035</t>
  </si>
  <si>
    <t>CR-AGO-A-038</t>
  </si>
  <si>
    <t>CR-ASS-I-027</t>
  </si>
  <si>
    <t>Nenyimaaye Jn-Nenyimaaye</t>
  </si>
  <si>
    <t>Saltpond Town Roads PH 2 &amp; Mfantsiman Sec School</t>
  </si>
  <si>
    <t>Seth Okai - Nsaba F/R PH 2</t>
  </si>
  <si>
    <t>Seth Okai - Nsaba F/R PH 3</t>
  </si>
  <si>
    <t>Seth Okai - Nsaba F/R PH 4</t>
  </si>
  <si>
    <t>Kwame Agyei - Ebamu - Nyakokwaa PH 2</t>
  </si>
  <si>
    <t>THLD</t>
  </si>
  <si>
    <t>Asempaneye-Kushea PH 2</t>
  </si>
  <si>
    <t>Asempaneye-Kushea PH 3</t>
  </si>
  <si>
    <t>Anwiasu-Abaase-Wawase</t>
  </si>
  <si>
    <t xml:space="preserve">Mumford-Whida                                          </t>
  </si>
  <si>
    <t>Johaze Ltd.</t>
  </si>
  <si>
    <t>6№ 700x900mm and 1№ 1200x1200mm U culvert,250m 450x450x150mm U- drain,200m of stone line drain  completed</t>
  </si>
  <si>
    <t>Asuowam Complex Ltd.</t>
  </si>
  <si>
    <t>Tatop Company Ltd.</t>
  </si>
  <si>
    <t>Nins Dev. Ltd.</t>
  </si>
  <si>
    <t>Steel Bridge over River Okyi on Eshiro Jn - Eshiro - Kwesigyan F/R</t>
  </si>
  <si>
    <t>Benyark Ltd.</t>
  </si>
  <si>
    <t>JUASO COCOA STATION - OTABIL NKWANTA</t>
  </si>
  <si>
    <t>6.7km of Grass Cutting  completed</t>
  </si>
  <si>
    <t>Akubufar Jn - Gyekrodua</t>
  </si>
  <si>
    <t>CR-AES-C-026</t>
  </si>
  <si>
    <t>KISSI - ATEKYEM</t>
  </si>
  <si>
    <t>EBUKROM JN-HEMANG JN</t>
  </si>
  <si>
    <t>KISSI - ATEKYEM &amp; OTHER</t>
  </si>
  <si>
    <t>Raksa Investment Ltd.</t>
  </si>
  <si>
    <t>DFR/CR/KEEA/RESH/GOG/4/12</t>
  </si>
  <si>
    <t>ABREM AGONA - ADAMA &amp; OTHERS</t>
  </si>
  <si>
    <t>ABREM AGONA - ADAMA</t>
  </si>
  <si>
    <t xml:space="preserve">AKWAKROM JN - AKWAKROM </t>
  </si>
  <si>
    <t xml:space="preserve">NTONTONSO JN - NTONTONSO </t>
  </si>
  <si>
    <t xml:space="preserve">WAREBEBA JN - WAREBEBA </t>
  </si>
  <si>
    <t>DFR/CR/AS/GC/GOG/40/10</t>
  </si>
  <si>
    <t>6.9km of Grass Cutting  completed</t>
  </si>
  <si>
    <t>ANDO- ADADIENTEM- ADUBIASE PH 2</t>
  </si>
  <si>
    <t>DFR/CR/AS/GC/GOG/54/10</t>
  </si>
  <si>
    <t>Sybil-Princ Ltd.</t>
  </si>
  <si>
    <t>ACTIVITY</t>
  </si>
  <si>
    <t>REMARKS</t>
  </si>
  <si>
    <t>Clearing and formation,4№ 700X900mm,1№ 900X1200mm,1№ 1200X1200mm,1№ 1250X1800mm completed.</t>
  </si>
  <si>
    <t>Voroma Complex Ltd.</t>
  </si>
  <si>
    <t>Build Trust Const. Ltd.</t>
  </si>
  <si>
    <t>ADEADE JN - ADEADE</t>
  </si>
  <si>
    <t>BETHLEHEM - OTOMKROM</t>
  </si>
  <si>
    <t>K-Lia Ent. Ltd.</t>
  </si>
  <si>
    <t>ESSUSU - ABOANO</t>
  </si>
  <si>
    <t>AWISAM JN - AWISAM</t>
  </si>
  <si>
    <t>TOBOASE - AKROMAKWA</t>
  </si>
  <si>
    <t>BARKO - OTROBA</t>
  </si>
  <si>
    <t xml:space="preserve">ENYINABRIM JN - ENYINABRIM </t>
  </si>
  <si>
    <t>Willjoan Ent.</t>
  </si>
  <si>
    <t>DFR/CR/MF/RESH/GOG/36/12</t>
  </si>
  <si>
    <t>MPRENKYI JN - BEWURA</t>
  </si>
  <si>
    <t>DFR/CR/MF/RESH/GOG/30/12</t>
  </si>
  <si>
    <t>DFR/CR/MF/RESH/GOG/29/12</t>
  </si>
  <si>
    <t>ADANSI - IMMUNA &amp; OTHERS</t>
  </si>
  <si>
    <t>KENYANKOR - KOBINA ATTA</t>
  </si>
  <si>
    <t>CR-AES-I-020</t>
  </si>
  <si>
    <t xml:space="preserve"> TREPOSO - ADABOE &amp; Others </t>
  </si>
  <si>
    <t>CR-UED-A-005</t>
  </si>
  <si>
    <t>CR-GOM-A-032</t>
  </si>
  <si>
    <t>Antwikwa Jn - Antwikwa</t>
  </si>
  <si>
    <t>Gomoa Kirenkwanta-Mando</t>
  </si>
  <si>
    <t>CR-GOM-I-035</t>
  </si>
  <si>
    <t>Asempanaye Jn - Asempanaye</t>
  </si>
  <si>
    <t>Swedru-Oteipiro-Domokyi</t>
  </si>
  <si>
    <t>AW</t>
  </si>
  <si>
    <t>CR-LDE-A-049</t>
  </si>
  <si>
    <t>CR-LDE-A-051</t>
  </si>
  <si>
    <t>CR-GOM-C-005</t>
  </si>
  <si>
    <t>CR-GOM-A-009</t>
  </si>
  <si>
    <t>CR-GOM-A-008</t>
  </si>
  <si>
    <t>KOTOKYE(TWIFU JUABENG) - SALT FACTORY</t>
  </si>
  <si>
    <t xml:space="preserve">ATTORKROM JN - ATTORKROM </t>
  </si>
  <si>
    <t>KYIRENKUM - BONINSUMA</t>
  </si>
  <si>
    <t>CR-LDE-A-034</t>
  </si>
  <si>
    <t>Hafissco Gh Ltd.</t>
  </si>
  <si>
    <t>DFR/CR/THLD/RESH/GOG/56/12</t>
  </si>
  <si>
    <t xml:space="preserve"> PERWUDIE - GYAWARE &amp; OTHERS</t>
  </si>
  <si>
    <t>PERWUDIE - GYAWARE</t>
  </si>
  <si>
    <t>ATRENSU NO.1 - ATRENSU NO.2</t>
  </si>
  <si>
    <t xml:space="preserve">TUAKWA JN - ATRENSU NO.2  </t>
  </si>
  <si>
    <t>CR-LDE-A-031</t>
  </si>
  <si>
    <t>CR-LDE-A-038</t>
  </si>
  <si>
    <t>CR-LDE-C-039</t>
  </si>
  <si>
    <t>Acquah &amp; Sons Ltd.</t>
  </si>
  <si>
    <t>DFR/CR/THLD/RESH/GOG/57/12</t>
  </si>
  <si>
    <t xml:space="preserve"> HEMANG-PAASO - ABAKA NKWANTA &amp; OTHERS</t>
  </si>
  <si>
    <t>Imohin Const.</t>
  </si>
  <si>
    <t>DFR/CR/THLD/RESH/GOG/60/12</t>
  </si>
  <si>
    <t>BATANYA - ABAKRAMPA</t>
  </si>
  <si>
    <t>DFR/CR/AE/RESH/GOG/40/12</t>
  </si>
  <si>
    <t>DFR/CR/CC/RESH/GOG/41/12</t>
  </si>
  <si>
    <t>TUAKWA JN - BETSINGUA &amp; OTHERS</t>
  </si>
  <si>
    <t>TUAKWA JN - BETSINGUA</t>
  </si>
  <si>
    <t>TUAKWA - ODONKWA</t>
  </si>
  <si>
    <t>BANDO - ABURA ABOASE</t>
  </si>
  <si>
    <t>OBOHEN - EKROFUL</t>
  </si>
  <si>
    <t>EKUMFI DUNKWA - ATWA JN</t>
  </si>
  <si>
    <t>3№ 700x900mm,9№ 900x1200mm,1№ 1200x1200mm U-culvert,4№ Abutments completed and bridge lunched.</t>
  </si>
  <si>
    <r>
      <t>3№ 700x900mm,9№ 900x1200mm,1№ 1200x1200mm U-culvert,4</t>
    </r>
    <r>
      <rPr>
        <sz val="12"/>
        <rFont val="Arial"/>
        <family val="2"/>
      </rPr>
      <t>№</t>
    </r>
    <r>
      <rPr>
        <sz val="12"/>
        <rFont val="Arial"/>
        <family val="2"/>
      </rPr>
      <t xml:space="preserve"> Abutments completed and bridge lunched.</t>
    </r>
  </si>
  <si>
    <t>Work completed.</t>
  </si>
  <si>
    <t>ABOTAREYE - DIADOKONO &amp; OTHER</t>
  </si>
  <si>
    <t>CR-KEE-A-021</t>
  </si>
  <si>
    <t>CR-KEE-I-017</t>
  </si>
  <si>
    <t>DFR/CR/UDW/RESH/GOG/14/11</t>
  </si>
  <si>
    <t>DWENAMA JN - DWENAMA TOGO</t>
  </si>
  <si>
    <t>JAPAN BRIDGE - NINGO SCH</t>
  </si>
  <si>
    <t>DWENAMA JN - DWENAMA TOGO &amp; OTHER</t>
  </si>
  <si>
    <t>DFR/CR/AN/RESH/GOG/25/11</t>
  </si>
  <si>
    <t>KWAME ANNAN JN - KWAME ANNAN</t>
  </si>
  <si>
    <t>DADIESO - KAASANKWA</t>
  </si>
  <si>
    <t>NGRESI - OTABILKROM</t>
  </si>
  <si>
    <t>NGRESI - OTABILKROM &amp; OTHERS</t>
  </si>
  <si>
    <t>CR-ASS-A-002</t>
  </si>
  <si>
    <t>CR-ASS-A-025</t>
  </si>
  <si>
    <t>DFR/CR/AS/RESH/GOG/2/11</t>
  </si>
  <si>
    <t>KWAKUDUM JN - KWAKUDUM</t>
  </si>
  <si>
    <t>TEGYAMOSO JN - TEGYAMOSO</t>
  </si>
  <si>
    <t>DFR/CR/MF/SURF/GOG/2011</t>
  </si>
  <si>
    <t>KENYANKOR - AKWAKWAA</t>
  </si>
  <si>
    <t xml:space="preserve"> FOSUANSA - AMANOR &amp; Other </t>
  </si>
  <si>
    <t xml:space="preserve"> KENYANKOR - AKWAKWAA &amp; Others </t>
  </si>
  <si>
    <t>CR-AGO-C-057</t>
  </si>
  <si>
    <t>Jeikrodua - Osaekrodua</t>
  </si>
  <si>
    <t>Okyereko - Demonstration Centre</t>
  </si>
  <si>
    <t>EMQAP/DFR/CR/AWS/10/NCB/LOT 1</t>
  </si>
  <si>
    <t>Etsebedu Jn - Etsebedu</t>
  </si>
  <si>
    <t>DFR/CR/AEE/CFRIP PHI/SURF/4B/11</t>
  </si>
  <si>
    <t>DFR/CR/AEE/CFRIP PHI/SURF/1B/11</t>
  </si>
  <si>
    <t>DFR/CR/THLD/CFRIP PHI/SURF/3B/11</t>
  </si>
  <si>
    <t>EBEM - MBAANIAYE</t>
  </si>
  <si>
    <t xml:space="preserve"> MOSEASO - SONYAMEKODU &amp; Others</t>
  </si>
  <si>
    <t>Graduate Ventures Ltd.</t>
  </si>
  <si>
    <t>DFR/CR/THLD/RESH/GOG/43/11</t>
  </si>
  <si>
    <t>CR-LDE-A-030</t>
  </si>
  <si>
    <t>CR-LDE-A-067</t>
  </si>
  <si>
    <t>TREPOSO - ADABOE</t>
  </si>
  <si>
    <t>WAMPEM JN - WAMPEM</t>
  </si>
  <si>
    <t>Fosu - Ghana Telecom</t>
  </si>
  <si>
    <t>GOMOA EAST</t>
  </si>
  <si>
    <t>CR-AAK-A-005</t>
  </si>
  <si>
    <t>Asuansi - Obokrom</t>
  </si>
  <si>
    <t>Odumano - Akropong</t>
  </si>
  <si>
    <t>Akropong - Kwaakron</t>
  </si>
  <si>
    <t>Steel members lunched</t>
  </si>
  <si>
    <t>Surfacing</t>
  </si>
  <si>
    <t xml:space="preserve">Spot Improvement </t>
  </si>
  <si>
    <t>Bridge Construction</t>
  </si>
  <si>
    <t>Box Culvert Construction</t>
  </si>
  <si>
    <t>Road Fund</t>
  </si>
  <si>
    <t>Asti Agencies Ltd.</t>
  </si>
  <si>
    <t xml:space="preserve"> 11.2km of Grass Cutting and Reshaping completed</t>
  </si>
  <si>
    <t>6.1km of Grass Cutting and Reshaping completed</t>
  </si>
  <si>
    <t>15.9km of Grass Cutting and Reshaping completed</t>
  </si>
  <si>
    <t>6.3km of Grass Cutting and Reshaping completed</t>
  </si>
  <si>
    <t xml:space="preserve">AGYATEME JN - AGYATEME </t>
  </si>
  <si>
    <t>NSUAKYIR - KAKRABA</t>
  </si>
  <si>
    <t>GYATEKROM - OSUBOMPANIN</t>
  </si>
  <si>
    <t>DFR/CR/EF/RESH/GOG/23/12</t>
  </si>
  <si>
    <t>AHINTIA - KASOA &amp; OTHERS</t>
  </si>
  <si>
    <t>AHINTIA - KASOA</t>
  </si>
  <si>
    <t>CR-MFA-A-032</t>
  </si>
  <si>
    <t xml:space="preserve">Abaasa – Onyandze – Kokodo – Engo </t>
  </si>
  <si>
    <t>Essiam – Kyeikrom – Adukweku</t>
  </si>
  <si>
    <t>Slow progress. First warning letter given on 13/4/12</t>
  </si>
  <si>
    <t>KWESI ADU - WAWASE</t>
  </si>
  <si>
    <t>Osubonpanyin Jn.-Asubonpanyin</t>
  </si>
  <si>
    <t>1,100m of 450x450x120mm Conc U-drains,108m Kerbs completed.</t>
  </si>
  <si>
    <t>DFR/CR/EF/RESH/GOG/10/9</t>
  </si>
  <si>
    <t>EF</t>
  </si>
  <si>
    <t>CR-AES-C-049</t>
  </si>
  <si>
    <t>CR-AES-C-036</t>
  </si>
  <si>
    <t>CR-MFA-C-010</t>
  </si>
  <si>
    <t>CR-ASS-I-023</t>
  </si>
  <si>
    <t>CR-KEE-A-038</t>
  </si>
  <si>
    <t>CR-AGO-C-010/11/12</t>
  </si>
  <si>
    <t>CR-MFA-I-044</t>
  </si>
  <si>
    <t>CR-ASN-A-016</t>
  </si>
  <si>
    <t>CR-ASN-A-005</t>
  </si>
  <si>
    <t>CR-AES-A-013</t>
  </si>
  <si>
    <t>CR-AES-C-018</t>
  </si>
  <si>
    <t>CR-AES-C-005</t>
  </si>
  <si>
    <t>CR-AGO-I-007</t>
  </si>
  <si>
    <t>CR-MFA-C-025</t>
  </si>
  <si>
    <t>Project terminated on 15/03/11</t>
  </si>
  <si>
    <t>Akonfudi-Camp-Appolinningo F/R PH 1</t>
  </si>
  <si>
    <t>Kingsman Ltd.</t>
  </si>
  <si>
    <t>4№ 700X900mm U-culvert  completed.</t>
  </si>
  <si>
    <t>Project Terminated on 3/11/09.Refund GH¢ 87,299.08 MOB Loan</t>
  </si>
  <si>
    <t>Slow progress.Second Warning letter given on 30/04/12</t>
  </si>
  <si>
    <t>Project Terminated on 13/03/12</t>
  </si>
  <si>
    <t>DFR/CR/AN/GC/GOG/29/10</t>
  </si>
  <si>
    <t>DFR/CR/AN/GC/GOG/37/10</t>
  </si>
  <si>
    <t>DFR/CR/AN/GC/GOG/31/10</t>
  </si>
  <si>
    <t>Substantially completed</t>
  </si>
  <si>
    <t>8№ 700x900mm,1№ 900x1200mm U-culvert,90m 600x600x150mm and 3857m  450x450x120mm U-drain,42m 1200x200mm Retaining Wall,6.5km sub-base,base,primer seal &amp; seal completed.</t>
  </si>
  <si>
    <t>CONTRACT NUMBER</t>
  </si>
  <si>
    <t>DFR/CR/MTCE/GOG/01</t>
  </si>
  <si>
    <t>ABURA DENKYIRA - ABAKRAMPA &amp; OTHERS</t>
  </si>
  <si>
    <t>ABAKRAMPA - ACHIASE JN</t>
  </si>
  <si>
    <t xml:space="preserve"> ABAKRAMPA - ACHIASE JN &amp; OTHERS</t>
  </si>
  <si>
    <t>Clearing,formation,1№ 900X1200mm,3№ 700X900mm  and sub-base completed.</t>
  </si>
  <si>
    <t>Bosompa - Nkwantanando</t>
  </si>
  <si>
    <t>15.2km of Grass Cutting and Reshaping completed</t>
  </si>
  <si>
    <t>DFR/CR/AN/GC/GOG/32/10</t>
  </si>
  <si>
    <t>Memphis Metro. Ltd.</t>
  </si>
  <si>
    <t>Kokroko Jn - Kokroko</t>
  </si>
  <si>
    <t>CR-AAK-A-009</t>
  </si>
  <si>
    <t>CR-AAK-A-008</t>
  </si>
  <si>
    <t>CR-AAK-A-016</t>
  </si>
  <si>
    <t>CR-AAK-A-018</t>
  </si>
  <si>
    <t>CR-AAK-C-015</t>
  </si>
  <si>
    <t>CR-AAK-C-027</t>
  </si>
  <si>
    <t>CR-AAK-A-031</t>
  </si>
  <si>
    <t>CR-AAK-A-028</t>
  </si>
  <si>
    <t>CR-AAK-A-029</t>
  </si>
  <si>
    <t>CR-AAK-A-030</t>
  </si>
  <si>
    <t>CR-MFA-I-027</t>
  </si>
  <si>
    <t>DFR/CR/MF/RESH/GOG/10/3</t>
  </si>
  <si>
    <t>Clearing, 6No 700x900mm,2No 900x1200mm U-culvert completed</t>
  </si>
  <si>
    <t>CR-AJU-A-015</t>
  </si>
  <si>
    <t>17.6km of Grass Cutting and Reshaping completed</t>
  </si>
  <si>
    <t>Praso-Bimponagya - Bimponso F/R (B)</t>
  </si>
  <si>
    <t>Saint Gallen Ent.</t>
  </si>
  <si>
    <t>DFR/CR/AW/RESH/GOG/10/14</t>
  </si>
  <si>
    <t xml:space="preserve"> Mfadwen Jn-Bonrase &amp; Others </t>
  </si>
  <si>
    <t xml:space="preserve">Boadukrom Jn Boadukrom-Gomoa Amanful &amp; Others </t>
  </si>
  <si>
    <t xml:space="preserve"> Egyanka-Immuna &amp; Others</t>
  </si>
  <si>
    <t>21.5km of Grass Cutting and Reshaping completed</t>
  </si>
  <si>
    <t>O.D.B. Const. Ltd.</t>
  </si>
  <si>
    <t xml:space="preserve">Aworabo Jn- Aworabo </t>
  </si>
  <si>
    <t>Hanimart Ventures</t>
  </si>
  <si>
    <t>Will Joan Ent.</t>
  </si>
  <si>
    <t>CR-AES-C-029</t>
  </si>
  <si>
    <t>CR-AES-I-030</t>
  </si>
  <si>
    <t>CR-LDE-C-058</t>
  </si>
  <si>
    <t xml:space="preserve"> Abor-Techiman-Eyisam &amp; Others </t>
  </si>
  <si>
    <t>BEREKU - NINKYINSO</t>
  </si>
  <si>
    <t>Steel Bridge over River Ntateasu on Nkwantanum - Asaman F/R</t>
  </si>
  <si>
    <t>Little Light Ent.</t>
  </si>
  <si>
    <t>Nsuta - Bepokokoo</t>
  </si>
  <si>
    <t>Not Available</t>
  </si>
  <si>
    <t>Duakwa-Akwakwaa</t>
  </si>
  <si>
    <t>DFR/CR/AE/RESH/GOG/4/10</t>
  </si>
  <si>
    <t>17.0km of Grass Cutting  completed</t>
  </si>
  <si>
    <t>DFR/CR/ACROW/09/15</t>
  </si>
  <si>
    <t>Clearing,formation and 1,992m 450x450x120mm,128m 600x600x150mm,46m 900x900x150mm Conc U-drain,402m of kerbs,2.0km of sub-base, 1.6km of base &amp; 2.0km primer seal completed.</t>
  </si>
  <si>
    <t>1,992m 450x450x120mm,128m 600x600x150mm,46m 900x900x150mm Conc U-drain,402m of kerbs completed.</t>
  </si>
  <si>
    <r>
      <t xml:space="preserve"> 7,537m of 0.45x0.45x0.12m Conc. "U" Drains,1</t>
    </r>
    <r>
      <rPr>
        <sz val="12"/>
        <rFont val="Arial"/>
        <family val="2"/>
      </rPr>
      <t>№</t>
    </r>
    <r>
      <rPr>
        <sz val="7.9"/>
        <rFont val="Arial"/>
        <family val="2"/>
      </rPr>
      <t xml:space="preserve"> </t>
    </r>
    <r>
      <rPr>
        <sz val="12"/>
        <rFont val="Arial"/>
        <family val="2"/>
      </rPr>
      <t>2/900x1200mm &amp; 9No culverts and 3,949.9m of Conc. In-situ kerbs, 59.3m of Retaining wall, 5.65km of sub-base and base,5.65km of primer seal &amp;seal Completed.</t>
    </r>
  </si>
  <si>
    <t>CR-ASS-C-032</t>
  </si>
  <si>
    <t>CR-AAK-C-052</t>
  </si>
  <si>
    <t>Old Odonase - Kankanase Jn</t>
  </si>
  <si>
    <t>CR-ASS-I-031</t>
  </si>
  <si>
    <t>Assin Akrofrom - Asabeim</t>
  </si>
  <si>
    <t>Abutment walls,Road approaches completed and bridge lunched</t>
  </si>
  <si>
    <t>Akobima Jn - Achiase</t>
  </si>
  <si>
    <t>Akobima  - Bosomadze</t>
  </si>
  <si>
    <t>Komenda  Ssfwi - Krofofrodo</t>
  </si>
  <si>
    <t>Ongua - Sergentkrom</t>
  </si>
  <si>
    <t>20.4km of Grass Cutting and Reshaping completed</t>
  </si>
  <si>
    <t>6.1km of Grass Cutting  completed</t>
  </si>
  <si>
    <t>AKONFUDI - ASUANKUMASU CAMP</t>
  </si>
  <si>
    <t>3No 700x900mm,1No 900x1200mm U- culvert,272m 450x450x120mm Conc U-drains  completed</t>
  </si>
  <si>
    <t>Obohen - Ekroful</t>
  </si>
  <si>
    <t>CR-AAK-C-049</t>
  </si>
  <si>
    <t>1142№ conc. Slabs,1№ 2/900x1200mm and 6№ 700x900mm U-culvert,1,533.9m 450x450x120 U-drain,640m of kerbs,258m of stone line drain completed.</t>
  </si>
  <si>
    <t>3№ 700x900mm U-culvert,2,371m 450x450mm U-drain completed</t>
  </si>
  <si>
    <t>26.6km of Grass Cutting and Reshaping completed</t>
  </si>
  <si>
    <t>Gomoa Abostia Jn - Abostia</t>
  </si>
  <si>
    <t>Gomoa Assin - Brofoyedur</t>
  </si>
  <si>
    <t>Desapcon Co. Ltd.</t>
  </si>
  <si>
    <t>Francotouch Services Ltd.</t>
  </si>
  <si>
    <t>NO.</t>
  </si>
  <si>
    <t xml:space="preserve"> Nyamedom-Asomdwee &amp; Others </t>
  </si>
  <si>
    <t>Assin Manso - Anyinasu F/R (A)</t>
  </si>
  <si>
    <t>Assin Manso - Anyinasu F/R (B)</t>
  </si>
  <si>
    <t>DFR/CR/GE/GC/GOG/14/10</t>
  </si>
  <si>
    <t>DFR/CR/SURF/DCRIP/PH2/08/33</t>
  </si>
  <si>
    <t>UDE</t>
  </si>
  <si>
    <t>Bawjiase - Aponkyikwa</t>
  </si>
  <si>
    <t>Mprumaim Jn - Mprumaim</t>
  </si>
  <si>
    <t>Amoakrom Jn - Amoakrom</t>
  </si>
  <si>
    <t>Soro Const. Ltd.</t>
  </si>
  <si>
    <t>DFR/CR/IDA/TSP/NCB/W-4/SURF/LOT 1/2013</t>
  </si>
  <si>
    <t>Pot Systems Ltd.</t>
  </si>
  <si>
    <t>CR-AJU-C-001</t>
  </si>
  <si>
    <t>Clearing,formation and 3No.700mm x900mm completed.</t>
  </si>
  <si>
    <t>CR-AES-C-009</t>
  </si>
  <si>
    <t>Papaye Jn - Papaye</t>
  </si>
  <si>
    <t>Slow progress.Fourth Warning letter issued on 12/03/10</t>
  </si>
  <si>
    <t xml:space="preserve"> Afrangua-Ayeldo-Kwadeogya &amp; Others</t>
  </si>
  <si>
    <t>Recommended for termination to Head office on 10/5/08</t>
  </si>
  <si>
    <t>DFR/CR/BRG/DUTCH/2005/02</t>
  </si>
  <si>
    <t>DFR/CR/BRG/DUTCH/2005/32</t>
  </si>
  <si>
    <t>AEE</t>
  </si>
  <si>
    <t>Wawase - Nyamedam</t>
  </si>
  <si>
    <t>18.1km of Grass Cutting  completed</t>
  </si>
  <si>
    <t>ASSIN KRUWA - KROFOFORMU</t>
  </si>
  <si>
    <t>NKWANTA - BONKOTU</t>
  </si>
  <si>
    <t>KWAMOANO - ATWEREBONANDA</t>
  </si>
  <si>
    <t xml:space="preserve"> EFUM - GYAWARE &amp; OTHERS</t>
  </si>
  <si>
    <t>KORMANTSE - OTSIR</t>
  </si>
  <si>
    <t>OGUANAMUA JN - AKOA</t>
  </si>
  <si>
    <t>14.5km of Grass Cutting and Reshaping completed</t>
  </si>
  <si>
    <t>12.30km of Grass Cutting and Reshaping completed</t>
  </si>
  <si>
    <t>Kwesi Adu - Wawase</t>
  </si>
  <si>
    <t>KROFU JN - EWOYAA JN &amp; OTHERS</t>
  </si>
  <si>
    <t>B. A. Worlanyo Ent.</t>
  </si>
  <si>
    <t>DFR/CR/MFA/RESH/GOG/27/12</t>
  </si>
  <si>
    <t>NSANFO JN - NKRAMOFOKROM</t>
  </si>
  <si>
    <t>NSANFO JN - NKRAMOFOKROM &amp; OTHERS</t>
  </si>
  <si>
    <t>NSANFO - NSAADZE JN</t>
  </si>
  <si>
    <t>11.0km of Grass Cutting and Reshaping completed</t>
  </si>
  <si>
    <t>Cindsarrah Ltd.</t>
  </si>
  <si>
    <t>8№ 700x900mm,1№ 900x1200mm,2№ 1250x1800mm U-culvert,280m 450x450x120mm,208m 600x600x150mm Conc. 'U' drain,455.9m of kerbs  completed.</t>
  </si>
  <si>
    <t>DFR/CR/SURF/DCRIP/09/09</t>
  </si>
  <si>
    <t>Swedru Town Roads</t>
  </si>
  <si>
    <t>Pee-Wuud Const. Ltd.</t>
  </si>
  <si>
    <t>7№ 700x900mm completed.</t>
  </si>
  <si>
    <t>Gomoa Adam Jn - Gomoa Adam</t>
  </si>
  <si>
    <t>NUAMAKROM - MINTA</t>
  </si>
  <si>
    <t xml:space="preserve">7№ 700X900mm completed. </t>
  </si>
  <si>
    <t>1№ 1800X1800mm completed.</t>
  </si>
  <si>
    <t>AMOAFO - AKYENEKROM</t>
  </si>
  <si>
    <t>WINNEBA - OJOBI PH 1</t>
  </si>
  <si>
    <t>WINNEBA - OJOBI PH 2</t>
  </si>
  <si>
    <t>WINNEBA - OJOBI PH 3</t>
  </si>
  <si>
    <t>OTUANO CAMP - ABADWESE</t>
  </si>
  <si>
    <t>Buabeng Adu Contract Wks</t>
  </si>
  <si>
    <t>DFR/CR/THLD/RESH/GOG/36/11</t>
  </si>
  <si>
    <t>Approtech Impex Ltd.</t>
  </si>
  <si>
    <t>DFR/CR/UDE/RESH/GOG/23/11</t>
  </si>
  <si>
    <t>DANYASE CAMP - MANFI PRA RIVER</t>
  </si>
  <si>
    <t>CR-LDE-A-012</t>
  </si>
  <si>
    <t>DFR/CR/ACROW/09/12</t>
  </si>
  <si>
    <t>DFR/CR/ACROW/09/13</t>
  </si>
  <si>
    <t>Effasco Ltd.</t>
  </si>
  <si>
    <t>Siltek Const. Ltd.</t>
  </si>
  <si>
    <t>ADIANOM JN - ADIANOM &amp; OTHER</t>
  </si>
  <si>
    <t>15.1km of Grass Cutting and Reshaping completed</t>
  </si>
  <si>
    <t>9.2km of Grass Cutting and Reshaping completed</t>
  </si>
  <si>
    <t>CR-AGO-C-058</t>
  </si>
  <si>
    <t>Quakor Ltd.</t>
  </si>
  <si>
    <t>DFR/CR/AE/RESH/GOG/54/11</t>
  </si>
  <si>
    <t>Bando - Pomase</t>
  </si>
  <si>
    <t>Bando - Abura Abuase</t>
  </si>
  <si>
    <t>CR-ASS-A-039</t>
  </si>
  <si>
    <t>Jacobs - Nkranfo</t>
  </si>
  <si>
    <t>CR-AGO-A-020</t>
  </si>
  <si>
    <t>Tuakwa-Odonkwa</t>
  </si>
  <si>
    <t>Esusu - Akwakwa</t>
  </si>
  <si>
    <t>CR-ASN-A-011</t>
  </si>
  <si>
    <t>CR-ASN-A-034</t>
  </si>
  <si>
    <t>Rochford Co. Ltd.</t>
  </si>
  <si>
    <t>DFR/CR/UDE/RESH/GOG/17/11</t>
  </si>
  <si>
    <t>DOSII - BETWEASE</t>
  </si>
  <si>
    <t>Jobewill Ltd.</t>
  </si>
  <si>
    <t>DFR/CR/AAK/RESH/GOG/39/11</t>
  </si>
  <si>
    <t>MESUNKWA - FOTWEKROM</t>
  </si>
  <si>
    <t>SRAFA JN - ASUANSI</t>
  </si>
  <si>
    <t>Clearing,formation,2№ 700X900mm and 8№ 900X1200mm completed.</t>
  </si>
  <si>
    <t>2№ 700X900mm and 8№ 900X1200mm completed.</t>
  </si>
  <si>
    <t>ABURA DUNKWA - APENKWAKROM</t>
  </si>
  <si>
    <t>DFR/CR/BRG/DUTCH/08/81</t>
  </si>
  <si>
    <t>Paaso - Nyamebekyere</t>
  </si>
  <si>
    <r>
      <t>1</t>
    </r>
    <r>
      <rPr>
        <sz val="12"/>
        <rFont val="Arial"/>
        <family val="2"/>
      </rPr>
      <t>№</t>
    </r>
    <r>
      <rPr>
        <sz val="7.9"/>
        <rFont val="Arial"/>
        <family val="2"/>
      </rPr>
      <t xml:space="preserve"> </t>
    </r>
    <r>
      <rPr>
        <sz val="12"/>
        <rFont val="Arial"/>
        <family val="2"/>
      </rPr>
      <t>1800mm x1800mm completed.</t>
    </r>
  </si>
  <si>
    <t>Papase - Olutum</t>
  </si>
  <si>
    <t>Hemang - Paaso- Nsutem</t>
  </si>
  <si>
    <t>Abrekum Jn - Abrekum</t>
  </si>
  <si>
    <t>CR-UED-I-046</t>
  </si>
  <si>
    <t>Line-Ka Ent.</t>
  </si>
  <si>
    <t>1No 700x900 U-culverts completed</t>
  </si>
  <si>
    <t>4№700X900mm and 1№900X1200mm completed</t>
  </si>
  <si>
    <t>1№ 900X1200mm U-Culvert,abutment wall and lynching  completed.</t>
  </si>
  <si>
    <t>APENKWAKROM - NSUNYAMEYE</t>
  </si>
  <si>
    <t>DOSII - BETWEASE &amp; OTHER</t>
  </si>
  <si>
    <t>MESUNKWA - FOTWEKROM &amp; OTHERS</t>
  </si>
  <si>
    <t>A.B. &amp; K Ltd.</t>
  </si>
  <si>
    <t>BUABIN - KONTOKROM</t>
  </si>
  <si>
    <t>DENKYIRA FOSO - ONE POUND</t>
  </si>
  <si>
    <t>Nataco Beach Resort &amp; Co. Ltd.</t>
  </si>
  <si>
    <t>DOKODOKO - ASHIRE ATIEKU</t>
  </si>
  <si>
    <t xml:space="preserve"> ATIEKU - OSENAGYA</t>
  </si>
  <si>
    <t>NYINASE - ADUGYAA</t>
  </si>
  <si>
    <t>CR-LDE-I-022</t>
  </si>
  <si>
    <t>Akropong - Kwaakrom</t>
  </si>
  <si>
    <t>Nkwantanum-Kromaim-Mando</t>
  </si>
  <si>
    <t>Ampia Ajumako - Adwumam</t>
  </si>
  <si>
    <t>Nsawadze - Atakwa - Nkodjo</t>
  </si>
  <si>
    <t>Kromaim - Abaasa</t>
  </si>
  <si>
    <t>Denkyira - Kromaim</t>
  </si>
  <si>
    <t>CR-AJU-A-032</t>
  </si>
  <si>
    <t>Dewuboa Ent.</t>
  </si>
  <si>
    <t>BEREKU - NINKYISU</t>
  </si>
  <si>
    <t>B-Kham Co. Ltd.</t>
  </si>
  <si>
    <t>Lamanasa Ent.</t>
  </si>
  <si>
    <t>ODUMASE - KWESI ADU</t>
  </si>
  <si>
    <t>DFR/CR/THLD/CFRIP PHII/SURF/8/11</t>
  </si>
  <si>
    <t>DFR/CR/THLD/CFRIP PHII/SURF/9/11</t>
  </si>
  <si>
    <t>Dunkwa - Buabin - Mbrayaim F/R</t>
  </si>
  <si>
    <t>Ussuya (Gh) Ltd.</t>
  </si>
  <si>
    <t>CR-GOM-C-042</t>
  </si>
  <si>
    <t>CR-GOM-C-011</t>
  </si>
  <si>
    <t>ROAD NUMBER</t>
  </si>
  <si>
    <t>Ebubonko - Warabeba</t>
  </si>
  <si>
    <t>Kokwado Jn - Nkokonsa</t>
  </si>
  <si>
    <t>CR-AJU-C-036</t>
  </si>
  <si>
    <t>CR-AJU-C-037</t>
  </si>
  <si>
    <t>CR-AJU-I-034</t>
  </si>
  <si>
    <t>CR-AJU-C-026</t>
  </si>
  <si>
    <t>DFR/CR/AEE/RESH/GOG/10/22</t>
  </si>
  <si>
    <t>12.90km of Grass Cutting and Reshaping completed</t>
  </si>
  <si>
    <t>CR-GOM-I-026</t>
  </si>
  <si>
    <t>Eguafo - Bremang</t>
  </si>
  <si>
    <t>Obosomase - Asankwa</t>
  </si>
  <si>
    <t>Oguaa Jn - Abeadze</t>
  </si>
  <si>
    <r>
      <t>5</t>
    </r>
    <r>
      <rPr>
        <sz val="12"/>
        <rFont val="Arial"/>
        <family val="2"/>
      </rPr>
      <t>№</t>
    </r>
    <r>
      <rPr>
        <sz val="12"/>
        <rFont val="Arial"/>
        <family val="2"/>
      </rPr>
      <t xml:space="preserve"> Speed humps</t>
    </r>
  </si>
  <si>
    <t>CR-AGO-I-039</t>
  </si>
  <si>
    <t>CR-ASN-I-017</t>
  </si>
  <si>
    <t>CR-ASN-C-026</t>
  </si>
  <si>
    <t>CERT. NO</t>
  </si>
  <si>
    <t>Bankyiase - Kyinso</t>
  </si>
  <si>
    <t>Akyianu - Armah Camp</t>
  </si>
  <si>
    <t>CR-AES-C-058</t>
  </si>
  <si>
    <t>CR-ASS-A-043</t>
  </si>
  <si>
    <t>CR-GOM-A-039</t>
  </si>
  <si>
    <t>CR-GOM-A-043</t>
  </si>
  <si>
    <t>CR-GOM-C-051</t>
  </si>
  <si>
    <t>CR-GOM-A-050</t>
  </si>
  <si>
    <t>6.7km of Grass Cutting and Reshaping completed</t>
  </si>
  <si>
    <t>CR-LDE-A-040</t>
  </si>
  <si>
    <t>Wamaso - Aquakrom</t>
  </si>
  <si>
    <t>CR-MFA-I-037</t>
  </si>
  <si>
    <t>7.25km of Grass Cutting  completed</t>
  </si>
  <si>
    <t>Eguase-Asebu Ekroful Jn.</t>
  </si>
  <si>
    <t>Abakrampa-Abura Denkyira</t>
  </si>
  <si>
    <t>Dominase - Badukrom</t>
  </si>
  <si>
    <t>Nyinasin - Tsetsekasum</t>
  </si>
  <si>
    <t>DFR/CR/SURF/CRIP/PH3/08/2</t>
  </si>
  <si>
    <t>DFR/CR/SURF/CRIP/PH3/08/3</t>
  </si>
  <si>
    <t>DFR/CR/SURF/CRIP/PH3/08/4</t>
  </si>
  <si>
    <t>DFR/CR/SURF/CRIP/PH3/08/8</t>
  </si>
  <si>
    <t>UDW</t>
  </si>
  <si>
    <t>CR-LDE-A-021</t>
  </si>
  <si>
    <t>CHAPESS CONGA JN - GOMOA MAMPONG &amp; OTHER</t>
  </si>
  <si>
    <t>CR-GOM-C-037</t>
  </si>
  <si>
    <t>Adeaq Co. Ltd.</t>
  </si>
  <si>
    <t>9.75km of Grass Cutting and Reshaping completed</t>
  </si>
  <si>
    <t>DFR/CR/GE/RESH/GOG/8/11</t>
  </si>
  <si>
    <t>Alt Const. Ltd.</t>
  </si>
  <si>
    <t>Ernma Venture</t>
  </si>
  <si>
    <t>COCOBOD/CFRIP</t>
  </si>
  <si>
    <t>Consolidated Fund</t>
  </si>
  <si>
    <t>IDA/TSP</t>
  </si>
  <si>
    <t>20M</t>
  </si>
  <si>
    <t>30M</t>
  </si>
  <si>
    <t>40M</t>
  </si>
  <si>
    <t>AYENSUDU JN - BRENU AKYINIM</t>
  </si>
  <si>
    <t>DFR/CR/KEEA/GC/GOG/57/10</t>
  </si>
  <si>
    <t>DFR/CR/AEE/CFRIP PHII/SURF/6/11</t>
  </si>
  <si>
    <t>Bildex Farms Ltd.</t>
  </si>
  <si>
    <t>5№ 700x900mm,6№ 900x1200mm,2№ 2/900x1200mm,1№ 3/2x2m and 1№ 2/3x2m R.B.C. completed.</t>
  </si>
  <si>
    <t>Clearing, 5№ 700x900mm,6№ 900x1200mm,2№ 2/900x1200mm,1№ 3/2x2m and 1№ 2/3x2m R.B.C. completed.</t>
  </si>
  <si>
    <t>New Ansaful-Ntakofam</t>
  </si>
  <si>
    <t xml:space="preserve"> New Ansaful-Ntakofam  </t>
  </si>
  <si>
    <t>CR-LDE-I-032</t>
  </si>
  <si>
    <t>12.0km of Grass Cutting and Reshaping completed</t>
  </si>
  <si>
    <t>PRASO - NYAMEBEKYERE</t>
  </si>
  <si>
    <t>DUNKWA - NKOTOMSO PH1</t>
  </si>
  <si>
    <t>Rabin Ent.</t>
  </si>
  <si>
    <t>EMQAP/DFR/CR/AWS/10/NCB/LOT 14</t>
  </si>
  <si>
    <t>NKUBEM - AMANBETE</t>
  </si>
  <si>
    <t>NSUAKYIR - HOMAHOM</t>
  </si>
  <si>
    <t>KWOAFOKROM - AKOYEM</t>
  </si>
  <si>
    <t>ACHIASE - ONIPANKA</t>
  </si>
  <si>
    <t>CR-ASI-A-009</t>
  </si>
  <si>
    <t>CR-ASI-A-002</t>
  </si>
  <si>
    <t>CR-ASI-A-013</t>
  </si>
  <si>
    <t>CR-ASI-A-031</t>
  </si>
  <si>
    <t>5№ 700X900mm U-culvert,500m of 450x450x120mm Conc. U-drain completed.</t>
  </si>
  <si>
    <t>Steel Components lunched.</t>
  </si>
  <si>
    <t>CENTRAL REGION</t>
  </si>
  <si>
    <t>CR-AES-I-031</t>
  </si>
  <si>
    <t>DFR/CR/KEEA/GC/GOG/45/10</t>
  </si>
  <si>
    <t>ESSAMAN - ANQUANDA</t>
  </si>
  <si>
    <t>Appiafo Works Ltd.</t>
  </si>
  <si>
    <t>ANTADO JN - ANTADO</t>
  </si>
  <si>
    <t>CR-AES-A-056</t>
  </si>
  <si>
    <t>11.10km of Grass Cutting and Reshaping completed</t>
  </si>
  <si>
    <t>Tecson Co. Ltd.</t>
  </si>
  <si>
    <t>Abdelco Ltd.</t>
  </si>
  <si>
    <t>Gak Eng. Ltd.</t>
  </si>
  <si>
    <t>Core Const. Ltd.</t>
  </si>
  <si>
    <t>Caks Ltd.</t>
  </si>
  <si>
    <t>CR-UED-A-056/55</t>
  </si>
  <si>
    <t>DFR/CR/SURF/COCOA/01/2007</t>
  </si>
  <si>
    <t>DFR/CR/SURF/COCOA/03/2007</t>
  </si>
  <si>
    <t>CR-MFA-C-018</t>
  </si>
  <si>
    <t>Wankam Jn - Wankam</t>
  </si>
  <si>
    <t>Egyirefa Jn - Eeyirefa</t>
  </si>
  <si>
    <t>Duoto - Obereburu</t>
  </si>
  <si>
    <t>Kokwado - Asarekwa</t>
  </si>
  <si>
    <t>DFR/CR/AW/CFRIP/SI/1B/11</t>
  </si>
  <si>
    <t>Lilgeo Ent. Ltd.</t>
  </si>
  <si>
    <t>CR-UED-C-001</t>
  </si>
  <si>
    <t>Asomdwee - Okyeriku</t>
  </si>
  <si>
    <t>Apenkwakrom - Obokrom Jn</t>
  </si>
  <si>
    <t>Nkwantanum-Akokokrom</t>
  </si>
  <si>
    <t>CR-MFA-C-003</t>
  </si>
  <si>
    <t>CR-MFA-A-004</t>
  </si>
  <si>
    <t>CR-MFA-C-005</t>
  </si>
  <si>
    <t>CR-MFA-A-002</t>
  </si>
  <si>
    <t>CR-MFA-A-024</t>
  </si>
  <si>
    <t>CR-MFA-A-008</t>
  </si>
  <si>
    <t>CR-ASN-A-012</t>
  </si>
  <si>
    <t>Big Tanko Ltd.</t>
  </si>
  <si>
    <t>Comfort Plaza Ltd.</t>
  </si>
  <si>
    <t>David Walter Ltd.</t>
  </si>
  <si>
    <t>18.0km of Grass Cutting and Reshaping completed</t>
  </si>
  <si>
    <t>MINTASO - ADADEKOFI</t>
  </si>
  <si>
    <t>CR-AJU-C-029 CR-MFA-C-016</t>
  </si>
  <si>
    <t>CR-ASS-C-050</t>
  </si>
  <si>
    <t>CR-ASS-A-037</t>
  </si>
  <si>
    <t>ANYINABRIM - BAAKO</t>
  </si>
  <si>
    <t>DFR/CR/AS/GC/GOG/38/10</t>
  </si>
  <si>
    <t>8.10km of Grass Cutting and Reshaping completed</t>
  </si>
  <si>
    <t>DFR/CR/AOB/CFRIP/SI/8B/11</t>
  </si>
  <si>
    <t>Odoben - Nsutem F/R</t>
  </si>
  <si>
    <t>Francobex Co. Ltd.</t>
  </si>
  <si>
    <t>CR-ASI-A-024</t>
  </si>
  <si>
    <t>DFR/CR/THLD/CFRIP/SI/11A/11</t>
  </si>
  <si>
    <t>Paaso - Nyamebekyere F/R</t>
  </si>
  <si>
    <t>Teranisa Co. Ltd.</t>
  </si>
  <si>
    <t>CR-GOM-C-034</t>
  </si>
  <si>
    <t>DFR/CR/THLD/CFRIP/SI/10B/11</t>
  </si>
  <si>
    <t>Apenkro - Asensoho-Shed</t>
  </si>
  <si>
    <t>Insaan Gh Ltd.</t>
  </si>
  <si>
    <t>CR-LDE-A-059</t>
  </si>
  <si>
    <t>DFR/CR/AW/CFRIP/SI/1A/11</t>
  </si>
  <si>
    <t>Wawase - Amponsa F/R</t>
  </si>
  <si>
    <t>Mohamsah Ltd.</t>
  </si>
  <si>
    <t>Asomdwee - Badukrom</t>
  </si>
  <si>
    <t>CR-AAK-A-013</t>
  </si>
  <si>
    <t>Lartan Ltd.</t>
  </si>
  <si>
    <t>Gluck Fides Ent.</t>
  </si>
  <si>
    <t>CR-UED-C-058</t>
  </si>
  <si>
    <t>DFR/CR/UDE/RESH/GOG/15/11</t>
  </si>
  <si>
    <t>Nkubemu Jn - Larter Amanbete</t>
  </si>
  <si>
    <t>Kwame Alert Jn - Kwame Alert - Amuza</t>
  </si>
  <si>
    <t>CR-MFA-A-015 CR-MFA-C-018</t>
  </si>
  <si>
    <t>Gomoa East</t>
  </si>
  <si>
    <t>CR-GOM-C-049</t>
  </si>
  <si>
    <t>CR-AGO-A-030</t>
  </si>
  <si>
    <t>DFR/CR/UDE/CFRIP/SI/7A/11</t>
  </si>
  <si>
    <t>DFR/CR/AEE/RESH/GOG/10/23</t>
  </si>
  <si>
    <t>CR-AES-I-008</t>
  </si>
  <si>
    <t>Project Terminated on 3/11/09.</t>
  </si>
  <si>
    <t>EGYIKUMA - AKWEIKROM</t>
  </si>
  <si>
    <t>AKURAKESE JN - ASEREKWEKU</t>
  </si>
  <si>
    <t>Nkwanta - Kwabadukwaa</t>
  </si>
  <si>
    <t>Gyedu - Eduafo</t>
  </si>
  <si>
    <t>14.0km of Grass Cutting  completed</t>
  </si>
  <si>
    <t>CR-GOM-C-018</t>
  </si>
  <si>
    <t>CR-GOM-C-023</t>
  </si>
  <si>
    <t>COCOBOD/CRIP</t>
  </si>
  <si>
    <t>Osei Appeani Co. Ltd.</t>
  </si>
  <si>
    <t>Main structure of the site office,1№ 900X1200mm U-Culvert,abutment wall and lynching  completed.</t>
  </si>
  <si>
    <t xml:space="preserve">Clearing , formation,7№ 700x900mm completed. </t>
  </si>
  <si>
    <t>Mankessim - Suprudo</t>
  </si>
  <si>
    <t>Project Terminated on 12/07/11.</t>
  </si>
  <si>
    <t>CR-MFA-I-036</t>
  </si>
  <si>
    <t xml:space="preserve">Project Terminated on 4/02/11.                         </t>
  </si>
  <si>
    <t>CR-AAK-I-014</t>
  </si>
  <si>
    <t>11.9km of Grass Cutting and Reshaping completed</t>
  </si>
  <si>
    <t>DFR/CR/ASS/RESH/GOG/10/6</t>
  </si>
  <si>
    <t>Pe-Wuud Const Ltd</t>
  </si>
  <si>
    <t>26.3km of Grass Cutting and Reshaping completed</t>
  </si>
  <si>
    <t>CR-LDE-C-068</t>
  </si>
  <si>
    <t>CR-LDE-C-066</t>
  </si>
  <si>
    <t>DFR/CR/THLD/RESH/GOG/34/11</t>
  </si>
  <si>
    <t>ABRAFO - GYEWARE &amp; OTHERS</t>
  </si>
  <si>
    <t>KWEIKROM - OKUSIBIADZE</t>
  </si>
  <si>
    <t xml:space="preserve">ANTADO JN - ANTADO </t>
  </si>
  <si>
    <t>Gomoa Dabiso - Ayanfuri</t>
  </si>
  <si>
    <t>-</t>
  </si>
  <si>
    <t>ROAD FUND</t>
  </si>
  <si>
    <t>Work completed. Final of retention released on 24/5/13</t>
  </si>
  <si>
    <t>Work completed. Final of retention released on 26/7/13</t>
  </si>
  <si>
    <t>Work completed. Final of retention released on 28/7/13</t>
  </si>
  <si>
    <t>4No 900x1200mm,2No 2/900x1200mm U-culvert completed.</t>
  </si>
  <si>
    <t>Works completed. Final retention released on 18/7/13</t>
  </si>
  <si>
    <t>Works completed. Final retention released on 23/7/13</t>
  </si>
  <si>
    <t>3№ 700x900mm,14№ 900x1200mm,1№ 1250x1800mm U-culvert and 3,100m  450x450x120mm U-drain completed</t>
  </si>
  <si>
    <t xml:space="preserve">Clearing, formation,6№ 700x900mm,3№ 900X1200mm,2№ 1800X1800mm completed. </t>
  </si>
  <si>
    <t xml:space="preserve">6№ 700x900mm,3№ 900X1200mm,2№ 1800X1800mm completed. </t>
  </si>
  <si>
    <t>Works completed. Final retention released on 25/7/13</t>
  </si>
  <si>
    <t>ABOANO JN - POBIKUMA - NYANKOKWA</t>
  </si>
  <si>
    <t xml:space="preserve">9№ 700X900mm,3№ 900X1200mm completed </t>
  </si>
  <si>
    <t>Slow progress.Final Warning letter given on 17/7/12</t>
  </si>
  <si>
    <t xml:space="preserve">Clearing, Formation ,7№ 700X900mm &amp; 6№ 900X1200mm completed. </t>
  </si>
  <si>
    <t>CR-UED-A-057</t>
  </si>
  <si>
    <t>8.4km of Grass Cutting and Reshaping completed</t>
  </si>
  <si>
    <t>8.1km of Grass Cutting and Reshaping completed</t>
  </si>
  <si>
    <t>CR-ASN-C-020/19</t>
  </si>
  <si>
    <t xml:space="preserve">7№ 700X900mm &amp; 6№ 900X1200mm completed. </t>
  </si>
  <si>
    <t>CR-ASN-C-046</t>
  </si>
  <si>
    <t>5№ 700x900mm U-culverts, 1№ 1250x1800mm U-culvert, 870m of 450x450x120mm,200m of 600x600x150mm Conc U-drains completed</t>
  </si>
  <si>
    <t>MONTHLY PROGRESS REPORT  FOR AUGUST 2013</t>
  </si>
  <si>
    <t>Works completed</t>
  </si>
  <si>
    <t>1445m of 450x450x150mm Conc U-drains completed, 24m of 600x600x150mm Conc U-drains completed</t>
  </si>
  <si>
    <t>8No 700x900mm,1No 900x1200mm,1No 1250x1800mm U-culvert completed</t>
  </si>
  <si>
    <t>Clearing, formation,7№ 700X900mm,2№ 900X1200mm U-culverts and 1№ 1800mm Pipe Culvert,236m 600x600x150mm Conc U-drain,6.1km sub-base &amp; base,  primer seal &amp; seal completed</t>
  </si>
  <si>
    <t>7№ 700X900mm,2№ 900X1200mm U-culverts and 1№ 1800mm Pipe Culvert,236m 600x600x150mm Conc U-drain completed.</t>
  </si>
  <si>
    <t>6.2km of Grass Cutting and Reshaping completed</t>
  </si>
  <si>
    <t>19.20km of Grass Cutting and Reshaping completed</t>
  </si>
  <si>
    <t>15.0km of Grass Cutting and Reshaping completed</t>
  </si>
  <si>
    <t>3No 700x900mm,2No 900x1200mm U- culvert completed</t>
  </si>
  <si>
    <t>11.42km of Grass Cutting and Reshaping completed</t>
  </si>
  <si>
    <t>Final Retension released on 31st October, 2013</t>
  </si>
  <si>
    <t>Final Retension released on 1st November, 2013</t>
  </si>
  <si>
    <t>23.60km of Grass Cutting and Reshaping completed</t>
  </si>
  <si>
    <t>24.90km of Grass Cutting and Reshaping completed</t>
  </si>
  <si>
    <t>15.50km of Grass Cutting and Reshaping completed</t>
  </si>
  <si>
    <t>18.12km of Grass Cutting and Reshaping completed</t>
  </si>
  <si>
    <t>Works completed with interest on delayed payment</t>
  </si>
  <si>
    <t>12.80km of Grass Cutting and Reshaping completed</t>
  </si>
  <si>
    <t>18km of Grass Cutting and Reshaping completed</t>
  </si>
  <si>
    <t>17.10km of Grass Cutting and Reshaping completed</t>
  </si>
  <si>
    <t xml:space="preserve">Clearing,Formation, 7№ 700X900mm and sub-base completed. </t>
  </si>
  <si>
    <t>10.40km of Grass Cutting and Reshaping completed</t>
  </si>
  <si>
    <t xml:space="preserve">Clearing,formation,2№ 700x900mm, 1№ 900x1200mm, 1.8km sub-base  completed. </t>
  </si>
  <si>
    <t>Work completed. Final of retention released on 18/12/13</t>
  </si>
  <si>
    <t>Works in progress</t>
  </si>
  <si>
    <t>2No 700x900mm,1No 1200x1800mm U-culvert completed</t>
  </si>
  <si>
    <t>4No 700x900mm,3No 900x1200mm U-culvert completed</t>
  </si>
  <si>
    <t>2№ Relief Culverts,2№ 1800x1800mm U-culvert and lynching completed.</t>
  </si>
  <si>
    <t xml:space="preserve">7№ 700x900mm completed. </t>
  </si>
  <si>
    <t xml:space="preserve">2№ 700x900mm, 1№ 900x1200mm, 1.8km sub-base  completed. </t>
  </si>
  <si>
    <t>12.1km of Grass Cutting and Reshaping completed</t>
  </si>
  <si>
    <t>Works completed. Final retention released on 27/01/14</t>
  </si>
  <si>
    <t>13.00km of Grass Cutting and Reshaping completed</t>
  </si>
  <si>
    <t>Work completed. Final retention released on 30/01/14</t>
  </si>
  <si>
    <t>1No 700x900mm,2No 900x1200mm U-culvert completed</t>
  </si>
  <si>
    <t>4No 700x900mm,1No 900x1200mm,1No 1200x1200mm U-culvert, 1,045m 450x450x120mm Conc U-drains,390m kerbs completed, 3.0KM sub-base, base, primer and seal completed</t>
  </si>
  <si>
    <t>8.40km of Grass Cutting and Reshaping completed</t>
  </si>
  <si>
    <t>7.0km of Grass Cutting and Reshaping completed</t>
  </si>
  <si>
    <t>4№ 700x900mm,3№ 900x1200mm,1№ 2/700x900mm</t>
  </si>
  <si>
    <t>Works completed. Half retention released on 17/12/13</t>
  </si>
  <si>
    <t>Works completed. Final retention released on 20/02/14</t>
  </si>
  <si>
    <t>15.40km of Grass Cutting and Reshaping completed</t>
  </si>
  <si>
    <t>Works completed. Final retention released on 3/2/14</t>
  </si>
  <si>
    <t>Work completed with interest on delayed payment. Rectangular storm drain under construction</t>
  </si>
  <si>
    <t>2No 700x900mm,7No 900x1200mm, 2No 1200x1200mm and 1No 2/1800x1800mm U-culvert completed</t>
  </si>
  <si>
    <t>Final Retention Released on 20/03/14</t>
  </si>
  <si>
    <t>Final Retention Released on 25/03/14</t>
  </si>
  <si>
    <t>7№ 700X900mm U-Culvert completed</t>
  </si>
  <si>
    <t>Clearing completed, Formation works underway</t>
  </si>
  <si>
    <t>Clearing ,6№ 700X900mm,3№ 900x1200mm,1№ 2/3,000X3,000mm RBC completed, Completed with approach filling of all culverts</t>
  </si>
  <si>
    <t>Work completed. 50% of retention released on 22/04/14</t>
  </si>
  <si>
    <t>Surf.</t>
  </si>
  <si>
    <t>Clearing,4№ 700x900mm,3№ 900x1200mm,1№ 2/700x900mm, 1,318m 600x600mm, 405m 450x450mm Concrete 'U' Drain Completed</t>
  </si>
  <si>
    <t>Project is behind schedule</t>
  </si>
  <si>
    <t>Spot Imp.</t>
  </si>
  <si>
    <t>Rehab.</t>
  </si>
  <si>
    <r>
      <t xml:space="preserve">Amoafo - Akyenekrom - Zion </t>
    </r>
    <r>
      <rPr>
        <sz val="12"/>
        <rFont val="Arial"/>
        <family val="2"/>
      </rPr>
      <t>№</t>
    </r>
    <r>
      <rPr>
        <sz val="7.9"/>
        <rFont val="Arial"/>
        <family val="2"/>
      </rPr>
      <t xml:space="preserve"> </t>
    </r>
    <r>
      <rPr>
        <sz val="12"/>
        <rFont val="Arial"/>
        <family val="2"/>
      </rPr>
      <t>2</t>
    </r>
  </si>
  <si>
    <t>Clearing,formation, 500m of 450x450x120mm Conc. U-drain, 4No 700x900mm U-culvert ,3.0km of base &amp; sub-base completed</t>
  </si>
  <si>
    <t>Clearing,3No 700x900mm U-culvert, 2,371m 450x450mm U-drain completed</t>
  </si>
  <si>
    <t>Clearing, 4,238m 450x450x120mm Concrete U drains completed</t>
  </si>
  <si>
    <t>Clearing, 4No 700x900mm U-culvert completed</t>
  </si>
  <si>
    <t>Clearing, 4No 700x900mm,3No 900x1200mm, 1No 2/700x900mm U-culvert completed</t>
  </si>
  <si>
    <t>Clearing, 8№ 700x900mm,1№ 900x1200mm,2№ 1250x1800mm U-culvert,280m 450x450x120mm,208m 600x600x150mm Conc. 'U' drain,455.9m of kerbs  completed.</t>
  </si>
  <si>
    <t>5№ 700X900mm U-culvert,500m of 450x450x120mm Conc. U-drain completed, Clearing in progress</t>
  </si>
  <si>
    <t>Clearing,3No 700x900mm,2No 900x1200mm U-culvert completed</t>
  </si>
  <si>
    <t>Clearing completed, 3No 700x900mm,1No 900x1200mm U- culvert,272m 450x450x120mm Conc U-drains  completed</t>
  </si>
  <si>
    <t xml:space="preserve">Clearing and formation completed, 16No 700x900mm,4No 900x1200mm,1No  2/900x1200mm,1No  1250x1800mm U- culvert ,160m 600x600x150mm Conc U-drainscompleted, 6.0km of sub-base and base completed. </t>
  </si>
  <si>
    <t>Clearing,3№ 700x900mm, 1No 900x1200mm U-culverts completed, 5.0 sub-base, base and primer completed</t>
  </si>
  <si>
    <t xml:space="preserve">5No 700x900mm,3No 900x1200mm,1No 1250x1800mm U-culvert, 1,200m of 450x450x120mm,410m of 600x600x150mm,102m of 900x900x150mm Conc U-drains completed, sub-base, base, primer and seal completed. </t>
  </si>
  <si>
    <t>1No 900x1200mm,2No 700x900mm U- culvert,509m of 450x450x120mm Conc U-drains,100m Kerbs completed.</t>
  </si>
  <si>
    <t>Clearing, 5No 700x900mm,1No 1250x1800mm U-culvert,300m 450x450x120mm,690m 600x600x150mm Conc U-drains completed.</t>
  </si>
  <si>
    <t>Clearing, 500m of 450x450x120mm  &amp; 80m of 600x600x150mm Conc U-drains,1№ 900x1200mm U-culverts completed</t>
  </si>
  <si>
    <t>Clearing, 2No 700x900mm,7No 900x1200mm, 2No 1200x1200mm and 1No 2/1800x1800mm U-culvert and 5.50km of sub-base completed</t>
  </si>
  <si>
    <t>Clearing , 6№ 700X900mm, 2No 900x1200mm U-Culvert,Sub-base &amp; base completed</t>
  </si>
  <si>
    <t>Clearing, formation 1No 700x900mm,2No 900x1200mm U- culvert and sub-base completed</t>
  </si>
  <si>
    <t>Clearing and formation,6No 700x900mm,2No 900x1200mm U- culvert, 1No 2/1800x1800mm completed</t>
  </si>
  <si>
    <t>Clearing, formation, 7No 700x900mm,1No 900x1200mm U-culvert completed</t>
  </si>
  <si>
    <t>Clearing and formation completed.</t>
  </si>
  <si>
    <t>Clearing, 2No 700x900mm completed.</t>
  </si>
  <si>
    <t>Clearing and formation completed</t>
  </si>
  <si>
    <t>Clearing ,shaping &amp; V-shaped drain,1№ 700x900mm, 3No 900x1200mm U-culvert, 300m 450x450x120mm U-drain,sub-base ,base and primerseal completed</t>
  </si>
  <si>
    <t xml:space="preserve">Clearing, 2No 700x900mm,1No 1200x1800mm U-culvert completed.  </t>
  </si>
  <si>
    <t>Clearing and formation,8No 700x900mm,1No 900x1200mm, 1No 1250x1800mm U- culvert completed</t>
  </si>
  <si>
    <t>Clearing and formation, 6No 700x900mm, 3No 900x1200mm, 1No 1800x1800mm U culvert,238m of 450x450x120mm Concrete U drains,10,901cu.m cutting and 6.5km of sub-base and 0.8km of base completed</t>
  </si>
  <si>
    <t>Clearing ,formation,3No 700x900mm, 9No 900x1200mm U- culvert completed.</t>
  </si>
  <si>
    <t>Clearing and formation completed, 2No 700x900mm, 7No 900x1200mm, 2No 1200x1200mm and 1No 2/1800x1800mm U culvert, Clearing, 150m of 450x450x120mm Conc U-drains &amp; 100m of 600x600x150mm Conc U-drains completed</t>
  </si>
  <si>
    <t>Clearing and formation completed, 1445m of 450x450x150mm Conc U-drains completed, 24m of 600x600x150mm Conc U-drains completed</t>
  </si>
  <si>
    <t>Possesion of site given. Advanced Mobilization Loan Guaranteed</t>
  </si>
  <si>
    <t>MONTHLY PROGRESS REPORT  FOR JUNE 2014</t>
  </si>
  <si>
    <t>Final retention released on 24/06/2014</t>
  </si>
  <si>
    <t>34.10km of Grass Cutting  completed</t>
  </si>
  <si>
    <t>Variation Order approved on 07/05/2013</t>
  </si>
  <si>
    <t>Final Retention Released on 23/06/2014</t>
  </si>
  <si>
    <t>1,100m of 450x450x120mm Conc U-drains, 108m Kerbs,2.18 Ha clearing and 2376 Cu.m cutting, sub base, base and primer seal completed</t>
  </si>
  <si>
    <t>Clearing,3№ 700x900mm,14№ 900x1200mm,1№ 1250x1800mm U-culvert and 3,100m  450x450x120mm U-drain, sub base and base, 4.5km of primer seal completed</t>
  </si>
  <si>
    <t>Clearing , 7No 700x900mm, 1No 900x1200mm, 1No 2/900x1200mm U culvert, 160m of 450x450x120mm, 200m of 600x600x150mm Conc. U-drain completed, 2.5km sub-base completed.</t>
  </si>
  <si>
    <t xml:space="preserve">Clearing, formation, 9№ 700X900mm,3№ 900X1200mm completed . </t>
  </si>
  <si>
    <t>16.4km of Grass Cutting and Reshaping completed</t>
  </si>
  <si>
    <t>Dominase - Assin Subinso Var No. 4</t>
  </si>
  <si>
    <t>2No 900x1200mm,3No 700x900mm U- culvert,1,763m of 450x450x120mm Conc U-drains completed. After V.O, 6No 900mm pipe, 1777m of 450x450x120mm, 632m of 600x600x150mm Conc U-drains completed</t>
  </si>
  <si>
    <t xml:space="preserve">2No 900x1200mm,3No 700x900mm U- culvert,1,763m of 450x450x120mm Conc U-drains completed, 6.20km of sub-base, base and primer completed. After V.O, 6No 900x1200mm, 1777m of 450x450x120mm, 632m of 600x600x150mm Conc U-drains completed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</si>
</sst>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-* #,##0.00_-;\-* #,##0.00_-;_-* &quot;-&quot;??_-;_-@_-"/>
    <numFmt numFmtId="165" formatCode="dd/mm/yy;@"/>
    <numFmt numFmtId="166" formatCode="[$-409]d\-mmm\-yy;@"/>
  </numFmts>
  <fonts count="39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color indexed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9"/>
      <name val="Arial"/>
      <family val="2"/>
    </font>
    <font>
      <b/>
      <sz val="12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b/>
      <sz val="20"/>
      <name val="Arial"/>
      <family val="2"/>
    </font>
    <font>
      <sz val="12"/>
      <color indexed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4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7.9"/>
      <name val="Arial"/>
      <family val="2"/>
    </font>
    <font>
      <sz val="14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</fills>
  <borders count="6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46">
    <xf numFmtId="0" fontId="0" fillId="0" borderId="0"/>
    <xf numFmtId="0" fontId="17" fillId="2" borderId="0" applyNumberFormat="0" applyBorder="0" applyAlignment="0" applyProtection="0"/>
    <xf numFmtId="0" fontId="17" fillId="3" borderId="0" applyNumberFormat="0" applyBorder="0" applyAlignment="0" applyProtection="0"/>
    <xf numFmtId="0" fontId="17" fillId="4" borderId="0" applyNumberFormat="0" applyBorder="0" applyAlignment="0" applyProtection="0"/>
    <xf numFmtId="0" fontId="17" fillId="5" borderId="0" applyNumberFormat="0" applyBorder="0" applyAlignment="0" applyProtection="0"/>
    <xf numFmtId="0" fontId="17" fillId="6" borderId="0" applyNumberFormat="0" applyBorder="0" applyAlignment="0" applyProtection="0"/>
    <xf numFmtId="0" fontId="17" fillId="7" borderId="0" applyNumberFormat="0" applyBorder="0" applyAlignment="0" applyProtection="0"/>
    <xf numFmtId="0" fontId="17" fillId="8" borderId="0" applyNumberFormat="0" applyBorder="0" applyAlignment="0" applyProtection="0"/>
    <xf numFmtId="0" fontId="17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5" borderId="0" applyNumberFormat="0" applyBorder="0" applyAlignment="0" applyProtection="0"/>
    <xf numFmtId="0" fontId="17" fillId="8" borderId="0" applyNumberFormat="0" applyBorder="0" applyAlignment="0" applyProtection="0"/>
    <xf numFmtId="0" fontId="17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9" borderId="0" applyNumberFormat="0" applyBorder="0" applyAlignment="0" applyProtection="0"/>
    <xf numFmtId="0" fontId="18" fillId="10" borderId="0" applyNumberFormat="0" applyBorder="0" applyAlignment="0" applyProtection="0"/>
    <xf numFmtId="0" fontId="18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9" borderId="0" applyNumberFormat="0" applyBorder="0" applyAlignment="0" applyProtection="0"/>
    <xf numFmtId="0" fontId="19" fillId="3" borderId="0" applyNumberFormat="0" applyBorder="0" applyAlignment="0" applyProtection="0"/>
    <xf numFmtId="0" fontId="20" fillId="20" borderId="1" applyNumberFormat="0" applyAlignment="0" applyProtection="0"/>
    <xf numFmtId="0" fontId="21" fillId="21" borderId="2" applyNumberFormat="0" applyAlignment="0" applyProtection="0"/>
    <xf numFmtId="164" fontId="35" fillId="0" borderId="0" applyFont="0" applyFill="0" applyBorder="0" applyAlignment="0" applyProtection="0"/>
    <xf numFmtId="0" fontId="22" fillId="0" borderId="0" applyNumberFormat="0" applyFill="0" applyBorder="0" applyAlignment="0" applyProtection="0"/>
    <xf numFmtId="0" fontId="23" fillId="4" borderId="0" applyNumberFormat="0" applyBorder="0" applyAlignment="0" applyProtection="0"/>
    <xf numFmtId="0" fontId="24" fillId="0" borderId="3" applyNumberFormat="0" applyFill="0" applyAlignment="0" applyProtection="0"/>
    <xf numFmtId="0" fontId="25" fillId="0" borderId="4" applyNumberFormat="0" applyFill="0" applyAlignment="0" applyProtection="0"/>
    <xf numFmtId="0" fontId="26" fillId="0" borderId="5" applyNumberFormat="0" applyFill="0" applyAlignment="0" applyProtection="0"/>
    <xf numFmtId="0" fontId="26" fillId="0" borderId="0" applyNumberFormat="0" applyFill="0" applyBorder="0" applyAlignment="0" applyProtection="0"/>
    <xf numFmtId="0" fontId="27" fillId="7" borderId="1" applyNumberFormat="0" applyAlignment="0" applyProtection="0"/>
    <xf numFmtId="0" fontId="28" fillId="0" borderId="6" applyNumberFormat="0" applyFill="0" applyAlignment="0" applyProtection="0"/>
    <xf numFmtId="0" fontId="29" fillId="22" borderId="0" applyNumberFormat="0" applyBorder="0" applyAlignment="0" applyProtection="0"/>
    <xf numFmtId="0" fontId="36" fillId="0" borderId="0"/>
    <xf numFmtId="0" fontId="1" fillId="0" borderId="0"/>
    <xf numFmtId="0" fontId="1" fillId="0" borderId="0"/>
    <xf numFmtId="0" fontId="1" fillId="23" borderId="7" applyNumberFormat="0" applyFont="0" applyAlignment="0" applyProtection="0"/>
    <xf numFmtId="0" fontId="30" fillId="20" borderId="8" applyNumberFormat="0" applyAlignment="0" applyProtection="0"/>
    <xf numFmtId="0" fontId="31" fillId="0" borderId="0" applyNumberFormat="0" applyFill="0" applyBorder="0" applyAlignment="0" applyProtection="0"/>
    <xf numFmtId="0" fontId="32" fillId="0" borderId="9" applyNumberFormat="0" applyFill="0" applyAlignment="0" applyProtection="0"/>
    <xf numFmtId="0" fontId="33" fillId="0" borderId="0" applyNumberFormat="0" applyFill="0" applyBorder="0" applyAlignment="0" applyProtection="0"/>
  </cellStyleXfs>
  <cellXfs count="809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0" fillId="0" borderId="0" xfId="0" applyFill="1"/>
    <xf numFmtId="0" fontId="6" fillId="0" borderId="0" xfId="0" applyFont="1" applyAlignment="1">
      <alignment horizontal="center" vertical="center" wrapText="1"/>
    </xf>
    <xf numFmtId="0" fontId="6" fillId="0" borderId="0" xfId="0" applyFont="1" applyBorder="1"/>
    <xf numFmtId="0" fontId="7" fillId="0" borderId="10" xfId="0" applyFont="1" applyBorder="1" applyAlignment="1">
      <alignment horizontal="center" vertical="center" wrapText="1"/>
    </xf>
    <xf numFmtId="0" fontId="6" fillId="0" borderId="10" xfId="0" applyFont="1" applyFill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0" xfId="0" applyFont="1" applyFill="1" applyBorder="1" applyAlignment="1">
      <alignment horizontal="left" vertical="center" wrapText="1"/>
    </xf>
    <xf numFmtId="0" fontId="7" fillId="0" borderId="10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Fill="1" applyBorder="1" applyAlignment="1">
      <alignment horizontal="center" vertical="center" wrapText="1"/>
    </xf>
    <xf numFmtId="0" fontId="5" fillId="0" borderId="0" xfId="0" applyFont="1" applyAlignment="1"/>
    <xf numFmtId="0" fontId="6" fillId="0" borderId="0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9" fillId="0" borderId="10" xfId="0" applyFont="1" applyFill="1" applyBorder="1" applyAlignment="1">
      <alignment horizontal="center" vertical="center"/>
    </xf>
    <xf numFmtId="4" fontId="9" fillId="0" borderId="10" xfId="0" applyNumberFormat="1" applyFont="1" applyFill="1" applyBorder="1" applyAlignment="1">
      <alignment horizontal="center" vertical="center"/>
    </xf>
    <xf numFmtId="0" fontId="9" fillId="0" borderId="10" xfId="0" applyFont="1" applyBorder="1" applyAlignment="1">
      <alignment horizontal="center" vertical="center" wrapText="1"/>
    </xf>
    <xf numFmtId="0" fontId="9" fillId="0" borderId="10" xfId="0" applyFont="1" applyFill="1" applyBorder="1" applyAlignment="1">
      <alignment horizontal="center" vertical="center" wrapText="1"/>
    </xf>
    <xf numFmtId="4" fontId="9" fillId="0" borderId="10" xfId="0" applyNumberFormat="1" applyFont="1" applyFill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/>
    </xf>
    <xf numFmtId="1" fontId="9" fillId="0" borderId="10" xfId="0" applyNumberFormat="1" applyFont="1" applyFill="1" applyBorder="1" applyAlignment="1">
      <alignment horizontal="center" vertical="center" wrapText="1"/>
    </xf>
    <xf numFmtId="0" fontId="9" fillId="0" borderId="11" xfId="0" applyFont="1" applyFill="1" applyBorder="1" applyAlignment="1">
      <alignment horizontal="center" vertical="center" wrapText="1"/>
    </xf>
    <xf numFmtId="0" fontId="9" fillId="0" borderId="10" xfId="0" applyFont="1" applyFill="1" applyBorder="1" applyAlignment="1">
      <alignment horizontal="left" vertical="center" wrapText="1"/>
    </xf>
    <xf numFmtId="2" fontId="6" fillId="0" borderId="0" xfId="0" applyNumberFormat="1" applyFont="1" applyBorder="1"/>
    <xf numFmtId="2" fontId="2" fillId="0" borderId="0" xfId="0" applyNumberFormat="1" applyFont="1"/>
    <xf numFmtId="4" fontId="6" fillId="0" borderId="0" xfId="0" applyNumberFormat="1" applyFont="1" applyBorder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2" fontId="6" fillId="0" borderId="0" xfId="0" applyNumberFormat="1" applyFont="1" applyBorder="1" applyAlignment="1">
      <alignment horizontal="center" vertical="center"/>
    </xf>
    <xf numFmtId="2" fontId="9" fillId="0" borderId="10" xfId="0" applyNumberFormat="1" applyFont="1" applyFill="1" applyBorder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0" fontId="7" fillId="0" borderId="13" xfId="0" applyFont="1" applyFill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/>
    </xf>
    <xf numFmtId="0" fontId="8" fillId="0" borderId="10" xfId="0" applyFont="1" applyFill="1" applyBorder="1" applyAlignment="1">
      <alignment horizontal="center" vertical="center"/>
    </xf>
    <xf numFmtId="4" fontId="8" fillId="0" borderId="10" xfId="0" applyNumberFormat="1" applyFont="1" applyFill="1" applyBorder="1" applyAlignment="1">
      <alignment horizontal="center" vertical="center"/>
    </xf>
    <xf numFmtId="0" fontId="9" fillId="0" borderId="11" xfId="0" applyFont="1" applyFill="1" applyBorder="1" applyAlignment="1">
      <alignment horizontal="center" vertical="center"/>
    </xf>
    <xf numFmtId="166" fontId="6" fillId="0" borderId="0" xfId="0" applyNumberFormat="1" applyFont="1" applyFill="1" applyBorder="1" applyAlignment="1">
      <alignment horizontal="center" vertical="center"/>
    </xf>
    <xf numFmtId="166" fontId="6" fillId="0" borderId="16" xfId="0" applyNumberFormat="1" applyFont="1" applyFill="1" applyBorder="1" applyAlignment="1">
      <alignment horizontal="center" vertical="center"/>
    </xf>
    <xf numFmtId="166" fontId="9" fillId="0" borderId="10" xfId="0" applyNumberFormat="1" applyFont="1" applyFill="1" applyBorder="1" applyAlignment="1">
      <alignment horizontal="center" vertical="center"/>
    </xf>
    <xf numFmtId="166" fontId="9" fillId="0" borderId="10" xfId="0" applyNumberFormat="1" applyFont="1" applyFill="1" applyBorder="1" applyAlignment="1">
      <alignment horizontal="center" vertical="center" wrapText="1"/>
    </xf>
    <xf numFmtId="166" fontId="2" fillId="0" borderId="10" xfId="0" applyNumberFormat="1" applyFont="1" applyFill="1" applyBorder="1" applyAlignment="1">
      <alignment horizontal="center" vertical="center"/>
    </xf>
    <xf numFmtId="166" fontId="2" fillId="0" borderId="0" xfId="0" applyNumberFormat="1" applyFont="1" applyFill="1"/>
    <xf numFmtId="166" fontId="2" fillId="0" borderId="0" xfId="0" applyNumberFormat="1" applyFont="1" applyFill="1" applyAlignment="1">
      <alignment horizontal="center" vertical="center"/>
    </xf>
    <xf numFmtId="166" fontId="6" fillId="0" borderId="12" xfId="0" applyNumberFormat="1" applyFont="1" applyFill="1" applyBorder="1" applyAlignment="1">
      <alignment horizontal="center" vertical="center"/>
    </xf>
    <xf numFmtId="0" fontId="6" fillId="0" borderId="12" xfId="0" applyFont="1" applyBorder="1" applyAlignment="1">
      <alignment horizontal="center" vertical="center" wrapText="1"/>
    </xf>
    <xf numFmtId="0" fontId="9" fillId="0" borderId="11" xfId="0" applyFont="1" applyFill="1" applyBorder="1" applyAlignment="1">
      <alignment horizontal="left" vertical="center" wrapText="1"/>
    </xf>
    <xf numFmtId="0" fontId="9" fillId="0" borderId="0" xfId="0" applyFont="1" applyAlignment="1">
      <alignment horizontal="left"/>
    </xf>
    <xf numFmtId="0" fontId="9" fillId="0" borderId="0" xfId="0" applyFont="1"/>
    <xf numFmtId="2" fontId="9" fillId="0" borderId="10" xfId="0" applyNumberFormat="1" applyFont="1" applyFill="1" applyBorder="1" applyAlignment="1">
      <alignment horizontal="center" vertical="center" wrapText="1"/>
    </xf>
    <xf numFmtId="0" fontId="0" fillId="0" borderId="18" xfId="0" applyFill="1" applyBorder="1"/>
    <xf numFmtId="0" fontId="6" fillId="0" borderId="0" xfId="0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1" fontId="9" fillId="0" borderId="10" xfId="0" applyNumberFormat="1" applyFont="1" applyFill="1" applyBorder="1" applyAlignment="1">
      <alignment horizontal="center" vertical="center"/>
    </xf>
    <xf numFmtId="0" fontId="9" fillId="0" borderId="19" xfId="0" applyFont="1" applyFill="1" applyBorder="1" applyAlignment="1">
      <alignment horizontal="center" vertical="center" wrapText="1"/>
    </xf>
    <xf numFmtId="0" fontId="9" fillId="0" borderId="19" xfId="0" applyFont="1" applyFill="1" applyBorder="1" applyAlignment="1">
      <alignment horizontal="left" vertical="center" wrapText="1"/>
    </xf>
    <xf numFmtId="0" fontId="9" fillId="0" borderId="0" xfId="0" applyFont="1" applyFill="1" applyBorder="1" applyAlignment="1">
      <alignment horizontal="left" vertical="center" wrapText="1"/>
    </xf>
    <xf numFmtId="0" fontId="0" fillId="0" borderId="0" xfId="0" applyFill="1" applyBorder="1"/>
    <xf numFmtId="0" fontId="3" fillId="0" borderId="0" xfId="0" applyFont="1" applyBorder="1" applyAlignment="1">
      <alignment horizontal="center"/>
    </xf>
    <xf numFmtId="0" fontId="0" fillId="0" borderId="10" xfId="0" applyBorder="1" applyAlignment="1">
      <alignment horizontal="center" vertical="center" wrapText="1"/>
    </xf>
    <xf numFmtId="0" fontId="0" fillId="0" borderId="10" xfId="0" applyBorder="1"/>
    <xf numFmtId="0" fontId="0" fillId="0" borderId="10" xfId="0" applyFill="1" applyBorder="1"/>
    <xf numFmtId="4" fontId="9" fillId="0" borderId="10" xfId="0" quotePrefix="1" applyNumberFormat="1" applyFont="1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/>
    <xf numFmtId="2" fontId="0" fillId="0" borderId="0" xfId="0" applyNumberFormat="1" applyAlignment="1">
      <alignment horizontal="center"/>
    </xf>
    <xf numFmtId="166" fontId="0" fillId="0" borderId="11" xfId="0" applyNumberFormat="1" applyBorder="1" applyAlignment="1">
      <alignment horizontal="center" vertical="center"/>
    </xf>
    <xf numFmtId="166" fontId="6" fillId="0" borderId="12" xfId="0" applyNumberFormat="1" applyFont="1" applyBorder="1" applyAlignment="1">
      <alignment horizontal="center" vertical="center"/>
    </xf>
    <xf numFmtId="166" fontId="6" fillId="0" borderId="16" xfId="0" applyNumberFormat="1" applyFont="1" applyBorder="1" applyAlignment="1">
      <alignment horizontal="center" vertical="center"/>
    </xf>
    <xf numFmtId="0" fontId="0" fillId="0" borderId="11" xfId="0" applyBorder="1"/>
    <xf numFmtId="166" fontId="0" fillId="0" borderId="11" xfId="0" applyNumberFormat="1" applyBorder="1"/>
    <xf numFmtId="166" fontId="0" fillId="0" borderId="24" xfId="0" applyNumberFormat="1" applyBorder="1"/>
    <xf numFmtId="2" fontId="0" fillId="0" borderId="10" xfId="0" applyNumberFormat="1" applyBorder="1" applyAlignment="1">
      <alignment horizontal="center"/>
    </xf>
    <xf numFmtId="0" fontId="0" fillId="0" borderId="10" xfId="0" applyBorder="1" applyAlignment="1"/>
    <xf numFmtId="0" fontId="0" fillId="0" borderId="10" xfId="0" applyBorder="1" applyAlignment="1">
      <alignment horizontal="center" vertical="center"/>
    </xf>
    <xf numFmtId="166" fontId="0" fillId="0" borderId="10" xfId="0" applyNumberFormat="1" applyBorder="1"/>
    <xf numFmtId="166" fontId="0" fillId="0" borderId="19" xfId="0" applyNumberFormat="1" applyBorder="1"/>
    <xf numFmtId="2" fontId="5" fillId="0" borderId="10" xfId="0" applyNumberFormat="1" applyFont="1" applyBorder="1" applyAlignment="1">
      <alignment horizontal="center"/>
    </xf>
    <xf numFmtId="2" fontId="6" fillId="0" borderId="10" xfId="0" applyNumberFormat="1" applyFont="1" applyBorder="1" applyAlignment="1">
      <alignment horizontal="center"/>
    </xf>
    <xf numFmtId="166" fontId="0" fillId="0" borderId="24" xfId="0" applyNumberFormat="1" applyBorder="1" applyAlignment="1">
      <alignment horizontal="center" vertical="center"/>
    </xf>
    <xf numFmtId="166" fontId="0" fillId="0" borderId="24" xfId="0" applyNumberFormat="1" applyBorder="1" applyAlignment="1">
      <alignment vertical="center"/>
    </xf>
    <xf numFmtId="2" fontId="0" fillId="0" borderId="10" xfId="0" applyNumberFormat="1" applyBorder="1" applyAlignment="1">
      <alignment horizontal="center" vertical="center"/>
    </xf>
    <xf numFmtId="166" fontId="0" fillId="0" borderId="11" xfId="0" applyNumberFormat="1" applyBorder="1" applyAlignment="1">
      <alignment horizontal="center"/>
    </xf>
    <xf numFmtId="166" fontId="0" fillId="0" borderId="24" xfId="0" applyNumberFormat="1" applyBorder="1" applyAlignment="1">
      <alignment horizontal="center"/>
    </xf>
    <xf numFmtId="2" fontId="0" fillId="0" borderId="11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166" fontId="0" fillId="0" borderId="12" xfId="0" applyNumberFormat="1" applyBorder="1"/>
    <xf numFmtId="166" fontId="0" fillId="0" borderId="25" xfId="0" applyNumberFormat="1" applyBorder="1"/>
    <xf numFmtId="2" fontId="5" fillId="0" borderId="26" xfId="0" applyNumberFormat="1" applyFont="1" applyBorder="1" applyAlignment="1">
      <alignment horizontal="center"/>
    </xf>
    <xf numFmtId="2" fontId="5" fillId="0" borderId="11" xfId="0" applyNumberFormat="1" applyFont="1" applyBorder="1" applyAlignment="1">
      <alignment horizontal="center"/>
    </xf>
    <xf numFmtId="2" fontId="6" fillId="0" borderId="11" xfId="0" applyNumberFormat="1" applyFont="1" applyBorder="1" applyAlignment="1">
      <alignment horizontal="center" vertical="center"/>
    </xf>
    <xf numFmtId="2" fontId="6" fillId="0" borderId="10" xfId="0" applyNumberFormat="1" applyFont="1" applyBorder="1" applyAlignment="1">
      <alignment horizontal="center" vertical="center"/>
    </xf>
    <xf numFmtId="2" fontId="6" fillId="0" borderId="12" xfId="0" applyNumberFormat="1" applyFont="1" applyBorder="1" applyAlignment="1">
      <alignment horizontal="center" vertical="center"/>
    </xf>
    <xf numFmtId="2" fontId="5" fillId="0" borderId="26" xfId="0" applyNumberFormat="1" applyFont="1" applyBorder="1" applyAlignment="1">
      <alignment horizontal="center" vertical="center"/>
    </xf>
    <xf numFmtId="2" fontId="1" fillId="0" borderId="11" xfId="40" applyNumberForma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0" fontId="0" fillId="0" borderId="12" xfId="0" applyBorder="1"/>
    <xf numFmtId="2" fontId="0" fillId="24" borderId="10" xfId="0" applyNumberFormat="1" applyFill="1" applyBorder="1" applyAlignment="1">
      <alignment horizontal="center"/>
    </xf>
    <xf numFmtId="166" fontId="0" fillId="0" borderId="10" xfId="0" applyNumberFormat="1" applyBorder="1" applyAlignment="1">
      <alignment horizontal="center" vertical="center"/>
    </xf>
    <xf numFmtId="0" fontId="0" fillId="0" borderId="27" xfId="0" applyBorder="1"/>
    <xf numFmtId="166" fontId="0" fillId="0" borderId="19" xfId="0" applyNumberFormat="1" applyBorder="1" applyAlignment="1">
      <alignment horizontal="center" vertical="center"/>
    </xf>
    <xf numFmtId="0" fontId="9" fillId="0" borderId="28" xfId="0" applyFont="1" applyBorder="1" applyAlignment="1">
      <alignment horizontal="center" vertical="center" wrapText="1"/>
    </xf>
    <xf numFmtId="0" fontId="6" fillId="0" borderId="0" xfId="0" applyFont="1" applyFill="1" applyAlignment="1">
      <alignment horizontal="center" vertical="center" wrapText="1"/>
    </xf>
    <xf numFmtId="2" fontId="2" fillId="0" borderId="10" xfId="0" applyNumberFormat="1" applyFont="1" applyFill="1" applyBorder="1" applyAlignment="1">
      <alignment horizontal="center" vertical="center"/>
    </xf>
    <xf numFmtId="0" fontId="9" fillId="0" borderId="10" xfId="0" applyFont="1" applyFill="1" applyBorder="1" applyAlignment="1">
      <alignment horizontal="left"/>
    </xf>
    <xf numFmtId="0" fontId="2" fillId="0" borderId="10" xfId="0" applyFont="1" applyFill="1" applyBorder="1"/>
    <xf numFmtId="4" fontId="2" fillId="0" borderId="10" xfId="0" applyNumberFormat="1" applyFont="1" applyFill="1" applyBorder="1" applyAlignment="1">
      <alignment horizontal="center" vertical="center"/>
    </xf>
    <xf numFmtId="2" fontId="2" fillId="0" borderId="10" xfId="0" applyNumberFormat="1" applyFont="1" applyFill="1" applyBorder="1"/>
    <xf numFmtId="0" fontId="9" fillId="0" borderId="10" xfId="39" applyFont="1" applyFill="1" applyBorder="1" applyAlignment="1">
      <alignment horizontal="center" vertical="center" wrapText="1"/>
    </xf>
    <xf numFmtId="0" fontId="9" fillId="0" borderId="10" xfId="39" applyFont="1" applyFill="1" applyBorder="1" applyAlignment="1">
      <alignment horizontal="left" vertical="center" wrapText="1"/>
    </xf>
    <xf numFmtId="0" fontId="9" fillId="0" borderId="29" xfId="0" applyFont="1" applyBorder="1" applyAlignment="1">
      <alignment horizontal="center" vertical="center" wrapText="1"/>
    </xf>
    <xf numFmtId="0" fontId="0" fillId="0" borderId="18" xfId="0" applyBorder="1"/>
    <xf numFmtId="166" fontId="1" fillId="0" borderId="10" xfId="40" applyNumberFormat="1" applyBorder="1" applyAlignment="1">
      <alignment horizontal="center" vertical="center"/>
    </xf>
    <xf numFmtId="0" fontId="9" fillId="0" borderId="28" xfId="40" applyFont="1" applyBorder="1" applyAlignment="1">
      <alignment horizontal="center" vertical="center" wrapText="1"/>
    </xf>
    <xf numFmtId="2" fontId="0" fillId="0" borderId="13" xfId="0" applyNumberFormat="1" applyBorder="1" applyAlignment="1">
      <alignment horizontal="center"/>
    </xf>
    <xf numFmtId="0" fontId="9" fillId="0" borderId="30" xfId="0" applyFont="1" applyBorder="1" applyAlignment="1">
      <alignment horizontal="center" vertical="center" wrapText="1"/>
    </xf>
    <xf numFmtId="166" fontId="0" fillId="0" borderId="12" xfId="0" applyNumberFormat="1" applyBorder="1" applyAlignment="1">
      <alignment horizontal="center" vertical="center"/>
    </xf>
    <xf numFmtId="0" fontId="9" fillId="0" borderId="0" xfId="0" applyFont="1" applyFill="1" applyAlignment="1">
      <alignment horizontal="left"/>
    </xf>
    <xf numFmtId="165" fontId="6" fillId="0" borderId="10" xfId="0" applyNumberFormat="1" applyFont="1" applyFill="1" applyBorder="1" applyAlignment="1">
      <alignment horizontal="center" vertical="center" wrapText="1"/>
    </xf>
    <xf numFmtId="0" fontId="2" fillId="0" borderId="10" xfId="0" quotePrefix="1" applyFont="1" applyFill="1" applyBorder="1" applyAlignment="1">
      <alignment horizontal="center" vertical="center"/>
    </xf>
    <xf numFmtId="0" fontId="9" fillId="0" borderId="31" xfId="0" applyFont="1" applyBorder="1" applyAlignment="1">
      <alignment horizontal="center" vertical="center" wrapText="1"/>
    </xf>
    <xf numFmtId="0" fontId="9" fillId="0" borderId="29" xfId="40" applyFont="1" applyBorder="1" applyAlignment="1">
      <alignment horizontal="center" vertical="center" wrapText="1"/>
    </xf>
    <xf numFmtId="0" fontId="9" fillId="0" borderId="32" xfId="4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/>
    </xf>
    <xf numFmtId="0" fontId="9" fillId="0" borderId="13" xfId="0" applyFont="1" applyFill="1" applyBorder="1" applyAlignment="1">
      <alignment horizontal="center" vertical="center"/>
    </xf>
    <xf numFmtId="0" fontId="9" fillId="0" borderId="11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wrapText="1"/>
    </xf>
    <xf numFmtId="0" fontId="9" fillId="0" borderId="11" xfId="0" applyFont="1" applyBorder="1" applyAlignment="1">
      <alignment horizontal="center" wrapText="1"/>
    </xf>
    <xf numFmtId="0" fontId="9" fillId="0" borderId="11" xfId="0" applyFont="1" applyBorder="1" applyAlignment="1">
      <alignment horizontal="center"/>
    </xf>
    <xf numFmtId="0" fontId="6" fillId="0" borderId="13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9" fillId="0" borderId="13" xfId="0" applyFont="1" applyBorder="1" applyAlignment="1">
      <alignment horizontal="center" vertical="center" wrapText="1"/>
    </xf>
    <xf numFmtId="0" fontId="9" fillId="0" borderId="11" xfId="0" applyFont="1" applyBorder="1"/>
    <xf numFmtId="0" fontId="9" fillId="0" borderId="10" xfId="0" applyFont="1" applyBorder="1"/>
    <xf numFmtId="0" fontId="9" fillId="0" borderId="0" xfId="0" applyFont="1" applyBorder="1"/>
    <xf numFmtId="0" fontId="9" fillId="0" borderId="10" xfId="0" applyFont="1" applyBorder="1" applyAlignment="1">
      <alignment vertical="center"/>
    </xf>
    <xf numFmtId="0" fontId="9" fillId="0" borderId="12" xfId="0" applyFont="1" applyBorder="1"/>
    <xf numFmtId="0" fontId="9" fillId="0" borderId="10" xfId="0" applyFont="1" applyBorder="1" applyAlignment="1">
      <alignment vertical="top"/>
    </xf>
    <xf numFmtId="0" fontId="9" fillId="0" borderId="10" xfId="0" applyFont="1" applyFill="1" applyBorder="1"/>
    <xf numFmtId="0" fontId="9" fillId="0" borderId="10" xfId="0" applyFont="1" applyBorder="1" applyAlignment="1">
      <alignment vertical="center" wrapText="1"/>
    </xf>
    <xf numFmtId="0" fontId="9" fillId="0" borderId="10" xfId="0" applyFont="1" applyBorder="1" applyAlignment="1">
      <alignment horizontal="left" vertical="center"/>
    </xf>
    <xf numFmtId="0" fontId="6" fillId="0" borderId="0" xfId="0" applyFont="1"/>
    <xf numFmtId="0" fontId="6" fillId="0" borderId="11" xfId="0" applyFont="1" applyBorder="1"/>
    <xf numFmtId="0" fontId="6" fillId="0" borderId="12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0" xfId="0" applyFont="1" applyBorder="1"/>
    <xf numFmtId="0" fontId="6" fillId="0" borderId="11" xfId="0" applyFont="1" applyBorder="1" applyAlignment="1">
      <alignment vertical="center"/>
    </xf>
    <xf numFmtId="0" fontId="6" fillId="0" borderId="12" xfId="0" applyFont="1" applyBorder="1"/>
    <xf numFmtId="4" fontId="6" fillId="0" borderId="11" xfId="0" applyNumberFormat="1" applyFont="1" applyBorder="1" applyAlignment="1">
      <alignment horizontal="center" vertical="center"/>
    </xf>
    <xf numFmtId="0" fontId="9" fillId="0" borderId="32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4" fontId="9" fillId="0" borderId="10" xfId="0" applyNumberFormat="1" applyFont="1" applyBorder="1" applyAlignment="1">
      <alignment horizontal="center" vertical="center"/>
    </xf>
    <xf numFmtId="4" fontId="9" fillId="0" borderId="13" xfId="0" applyNumberFormat="1" applyFont="1" applyBorder="1" applyAlignment="1">
      <alignment horizontal="center" vertical="center"/>
    </xf>
    <xf numFmtId="4" fontId="9" fillId="0" borderId="12" xfId="0" applyNumberFormat="1" applyFont="1" applyBorder="1" applyAlignment="1">
      <alignment horizontal="center" vertical="center"/>
    </xf>
    <xf numFmtId="4" fontId="9" fillId="0" borderId="11" xfId="0" applyNumberFormat="1" applyFont="1" applyBorder="1" applyAlignment="1">
      <alignment horizontal="center" vertical="center"/>
    </xf>
    <xf numFmtId="4" fontId="6" fillId="0" borderId="12" xfId="0" applyNumberFormat="1" applyFont="1" applyBorder="1" applyAlignment="1">
      <alignment horizontal="center" vertical="center"/>
    </xf>
    <xf numFmtId="4" fontId="6" fillId="0" borderId="13" xfId="0" applyNumberFormat="1" applyFont="1" applyBorder="1" applyAlignment="1">
      <alignment horizontal="center" vertical="center"/>
    </xf>
    <xf numFmtId="4" fontId="6" fillId="0" borderId="10" xfId="40" applyNumberFormat="1" applyFont="1" applyBorder="1" applyAlignment="1">
      <alignment horizontal="center" vertical="center"/>
    </xf>
    <xf numFmtId="4" fontId="6" fillId="0" borderId="10" xfId="0" applyNumberFormat="1" applyFont="1" applyBorder="1" applyAlignment="1">
      <alignment horizontal="center" vertical="center"/>
    </xf>
    <xf numFmtId="4" fontId="6" fillId="0" borderId="12" xfId="40" applyNumberFormat="1" applyFont="1" applyBorder="1" applyAlignment="1">
      <alignment horizontal="center" vertical="center"/>
    </xf>
    <xf numFmtId="0" fontId="6" fillId="0" borderId="10" xfId="0" applyFont="1" applyBorder="1" applyAlignment="1">
      <alignment horizontal="center"/>
    </xf>
    <xf numFmtId="0" fontId="6" fillId="0" borderId="11" xfId="40" applyFont="1" applyBorder="1" applyAlignment="1">
      <alignment horizontal="center" vertical="center"/>
    </xf>
    <xf numFmtId="0" fontId="6" fillId="0" borderId="10" xfId="40" applyFont="1" applyBorder="1" applyAlignment="1">
      <alignment horizontal="center" vertical="center"/>
    </xf>
    <xf numFmtId="0" fontId="9" fillId="0" borderId="10" xfId="0" applyFont="1" applyBorder="1" applyAlignment="1">
      <alignment horizontal="center"/>
    </xf>
    <xf numFmtId="0" fontId="9" fillId="0" borderId="10" xfId="0" applyFont="1" applyBorder="1" applyAlignment="1">
      <alignment horizontal="center" wrapText="1"/>
    </xf>
    <xf numFmtId="0" fontId="9" fillId="0" borderId="11" xfId="0" applyFont="1" applyBorder="1" applyAlignment="1">
      <alignment wrapText="1"/>
    </xf>
    <xf numFmtId="0" fontId="9" fillId="0" borderId="33" xfId="0" applyFont="1" applyBorder="1" applyAlignment="1">
      <alignment horizontal="center" vertical="center" wrapText="1"/>
    </xf>
    <xf numFmtId="2" fontId="6" fillId="0" borderId="13" xfId="0" applyNumberFormat="1" applyFont="1" applyBorder="1" applyAlignment="1">
      <alignment horizontal="center" vertical="center"/>
    </xf>
    <xf numFmtId="0" fontId="9" fillId="0" borderId="0" xfId="0" applyFont="1" applyAlignment="1">
      <alignment wrapText="1"/>
    </xf>
    <xf numFmtId="0" fontId="9" fillId="0" borderId="10" xfId="0" applyFont="1" applyBorder="1" applyAlignment="1">
      <alignment wrapText="1"/>
    </xf>
    <xf numFmtId="0" fontId="9" fillId="0" borderId="22" xfId="0" applyFont="1" applyBorder="1" applyAlignment="1">
      <alignment horizontal="center" vertical="center" wrapText="1"/>
    </xf>
    <xf numFmtId="0" fontId="12" fillId="0" borderId="10" xfId="0" applyFont="1" applyBorder="1" applyAlignment="1">
      <alignment wrapText="1"/>
    </xf>
    <xf numFmtId="0" fontId="9" fillId="0" borderId="34" xfId="0" applyFont="1" applyBorder="1" applyAlignment="1">
      <alignment horizontal="center" vertical="center" wrapText="1"/>
    </xf>
    <xf numFmtId="0" fontId="9" fillId="0" borderId="12" xfId="0" applyFont="1" applyBorder="1" applyAlignment="1">
      <alignment wrapText="1"/>
    </xf>
    <xf numFmtId="0" fontId="9" fillId="0" borderId="13" xfId="0" applyFont="1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4" fontId="6" fillId="0" borderId="12" xfId="0" applyNumberFormat="1" applyFont="1" applyBorder="1" applyAlignment="1">
      <alignment horizontal="center" vertical="center" wrapText="1"/>
    </xf>
    <xf numFmtId="166" fontId="0" fillId="0" borderId="12" xfId="0" applyNumberFormat="1" applyBorder="1" applyAlignment="1">
      <alignment horizontal="center" vertical="center" wrapText="1"/>
    </xf>
    <xf numFmtId="0" fontId="9" fillId="0" borderId="11" xfId="0" applyFont="1" applyBorder="1" applyAlignment="1">
      <alignment horizontal="left" vertical="center"/>
    </xf>
    <xf numFmtId="0" fontId="10" fillId="0" borderId="10" xfId="0" applyFont="1" applyBorder="1"/>
    <xf numFmtId="0" fontId="10" fillId="0" borderId="0" xfId="0" applyFont="1"/>
    <xf numFmtId="166" fontId="0" fillId="0" borderId="10" xfId="0" applyNumberFormat="1" applyBorder="1" applyAlignment="1">
      <alignment horizontal="center" vertical="center" wrapText="1"/>
    </xf>
    <xf numFmtId="0" fontId="0" fillId="0" borderId="13" xfId="0" applyBorder="1"/>
    <xf numFmtId="0" fontId="6" fillId="0" borderId="13" xfId="0" applyFont="1" applyBorder="1"/>
    <xf numFmtId="2" fontId="5" fillId="0" borderId="35" xfId="0" applyNumberFormat="1" applyFont="1" applyBorder="1" applyAlignment="1">
      <alignment horizontal="center" vertical="center"/>
    </xf>
    <xf numFmtId="166" fontId="0" fillId="0" borderId="13" xfId="0" applyNumberFormat="1" applyBorder="1"/>
    <xf numFmtId="166" fontId="0" fillId="0" borderId="36" xfId="0" applyNumberFormat="1" applyBorder="1"/>
    <xf numFmtId="0" fontId="9" fillId="0" borderId="13" xfId="0" applyFont="1" applyBorder="1"/>
    <xf numFmtId="166" fontId="6" fillId="0" borderId="10" xfId="39" applyNumberFormat="1" applyFont="1" applyFill="1" applyBorder="1" applyAlignment="1">
      <alignment horizontal="center" vertical="center"/>
    </xf>
    <xf numFmtId="0" fontId="9" fillId="0" borderId="12" xfId="0" applyFont="1" applyBorder="1" applyAlignment="1">
      <alignment vertical="center"/>
    </xf>
    <xf numFmtId="0" fontId="6" fillId="0" borderId="12" xfId="0" applyFont="1" applyBorder="1" applyAlignment="1">
      <alignment vertical="center"/>
    </xf>
    <xf numFmtId="2" fontId="0" fillId="0" borderId="0" xfId="0" applyNumberFormat="1" applyBorder="1" applyAlignment="1">
      <alignment horizontal="center"/>
    </xf>
    <xf numFmtId="0" fontId="10" fillId="0" borderId="12" xfId="0" applyFont="1" applyBorder="1"/>
    <xf numFmtId="2" fontId="0" fillId="0" borderId="27" xfId="0" applyNumberFormat="1" applyBorder="1" applyAlignment="1">
      <alignment horizontal="center"/>
    </xf>
    <xf numFmtId="2" fontId="0" fillId="0" borderId="37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1" xfId="0" applyFill="1" applyBorder="1"/>
    <xf numFmtId="2" fontId="0" fillId="0" borderId="38" xfId="0" applyNumberFormat="1" applyBorder="1" applyAlignment="1">
      <alignment horizontal="center"/>
    </xf>
    <xf numFmtId="0" fontId="8" fillId="0" borderId="11" xfId="0" applyFont="1" applyFill="1" applyBorder="1" applyAlignment="1">
      <alignment horizontal="center" vertical="center"/>
    </xf>
    <xf numFmtId="4" fontId="8" fillId="0" borderId="10" xfId="0" applyNumberFormat="1" applyFont="1" applyFill="1" applyBorder="1"/>
    <xf numFmtId="0" fontId="2" fillId="0" borderId="0" xfId="0" applyFont="1" applyFill="1" applyAlignment="1">
      <alignment horizontal="center" vertical="center" wrapText="1"/>
    </xf>
    <xf numFmtId="0" fontId="9" fillId="0" borderId="0" xfId="0" applyFont="1" applyFill="1"/>
    <xf numFmtId="2" fontId="2" fillId="0" borderId="0" xfId="0" applyNumberFormat="1" applyFont="1" applyFill="1" applyAlignment="1">
      <alignment horizontal="center" vertical="center"/>
    </xf>
    <xf numFmtId="0" fontId="2" fillId="0" borderId="0" xfId="0" applyFont="1" applyFill="1"/>
    <xf numFmtId="4" fontId="2" fillId="0" borderId="0" xfId="0" applyNumberFormat="1" applyFont="1" applyFill="1" applyAlignment="1">
      <alignment horizontal="center" vertical="center"/>
    </xf>
    <xf numFmtId="2" fontId="2" fillId="0" borderId="0" xfId="0" applyNumberFormat="1" applyFont="1" applyFill="1"/>
    <xf numFmtId="0" fontId="2" fillId="0" borderId="0" xfId="0" applyFont="1" applyFill="1" applyAlignment="1">
      <alignment horizontal="center" vertical="center"/>
    </xf>
    <xf numFmtId="166" fontId="0" fillId="0" borderId="25" xfId="0" applyNumberFormat="1" applyBorder="1" applyAlignment="1">
      <alignment horizontal="center" vertical="center"/>
    </xf>
    <xf numFmtId="166" fontId="0" fillId="0" borderId="25" xfId="0" applyNumberFormat="1" applyBorder="1" applyAlignment="1">
      <alignment horizontal="center" vertical="center" wrapText="1"/>
    </xf>
    <xf numFmtId="166" fontId="6" fillId="0" borderId="25" xfId="0" applyNumberFormat="1" applyFont="1" applyFill="1" applyBorder="1" applyAlignment="1">
      <alignment horizontal="center" vertical="center"/>
    </xf>
    <xf numFmtId="166" fontId="6" fillId="0" borderId="39" xfId="0" applyNumberFormat="1" applyFont="1" applyFill="1" applyBorder="1" applyAlignment="1">
      <alignment horizontal="center" vertical="center"/>
    </xf>
    <xf numFmtId="166" fontId="1" fillId="0" borderId="19" xfId="40" applyNumberFormat="1" applyBorder="1" applyAlignment="1">
      <alignment horizontal="center" vertical="center"/>
    </xf>
    <xf numFmtId="166" fontId="6" fillId="0" borderId="19" xfId="39" applyNumberFormat="1" applyFont="1" applyFill="1" applyBorder="1" applyAlignment="1">
      <alignment horizontal="center" vertical="center"/>
    </xf>
    <xf numFmtId="166" fontId="0" fillId="0" borderId="19" xfId="0" applyNumberFormat="1" applyBorder="1" applyAlignment="1">
      <alignment horizontal="center" vertical="center" wrapText="1"/>
    </xf>
    <xf numFmtId="0" fontId="6" fillId="0" borderId="36" xfId="0" applyFont="1" applyBorder="1" applyAlignment="1">
      <alignment horizontal="center" vertical="center"/>
    </xf>
    <xf numFmtId="0" fontId="0" fillId="0" borderId="11" xfId="0" applyBorder="1" applyAlignment="1"/>
    <xf numFmtId="0" fontId="9" fillId="25" borderId="10" xfId="0" applyFont="1" applyFill="1" applyBorder="1"/>
    <xf numFmtId="0" fontId="36" fillId="0" borderId="7" xfId="38" applyFont="1" applyFill="1" applyBorder="1" applyAlignment="1">
      <alignment wrapText="1"/>
    </xf>
    <xf numFmtId="0" fontId="9" fillId="26" borderId="10" xfId="0" applyFont="1" applyFill="1" applyBorder="1"/>
    <xf numFmtId="0" fontId="9" fillId="26" borderId="11" xfId="0" applyFont="1" applyFill="1" applyBorder="1"/>
    <xf numFmtId="0" fontId="10" fillId="27" borderId="10" xfId="0" applyFont="1" applyFill="1" applyBorder="1"/>
    <xf numFmtId="0" fontId="9" fillId="27" borderId="10" xfId="0" applyFont="1" applyFill="1" applyBorder="1"/>
    <xf numFmtId="0" fontId="9" fillId="28" borderId="10" xfId="0" applyFont="1" applyFill="1" applyBorder="1"/>
    <xf numFmtId="0" fontId="9" fillId="26" borderId="12" xfId="0" applyFont="1" applyFill="1" applyBorder="1"/>
    <xf numFmtId="0" fontId="10" fillId="0" borderId="13" xfId="0" applyFont="1" applyFill="1" applyBorder="1"/>
    <xf numFmtId="0" fontId="0" fillId="26" borderId="10" xfId="0" applyFill="1" applyBorder="1"/>
    <xf numFmtId="0" fontId="9" fillId="29" borderId="10" xfId="0" applyFont="1" applyFill="1" applyBorder="1"/>
    <xf numFmtId="0" fontId="10" fillId="26" borderId="12" xfId="0" applyFont="1" applyFill="1" applyBorder="1"/>
    <xf numFmtId="4" fontId="9" fillId="0" borderId="10" xfId="0" applyNumberFormat="1" applyFont="1" applyBorder="1" applyAlignment="1">
      <alignment horizontal="center" vertical="center" wrapText="1"/>
    </xf>
    <xf numFmtId="3" fontId="6" fillId="0" borderId="10" xfId="0" applyNumberFormat="1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 wrapText="1"/>
    </xf>
    <xf numFmtId="0" fontId="9" fillId="0" borderId="31" xfId="40" applyFont="1" applyBorder="1" applyAlignment="1">
      <alignment horizontal="center" vertical="center" wrapText="1"/>
    </xf>
    <xf numFmtId="0" fontId="9" fillId="0" borderId="30" xfId="40" applyFont="1" applyBorder="1" applyAlignment="1">
      <alignment horizontal="center" vertical="center" wrapText="1"/>
    </xf>
    <xf numFmtId="166" fontId="1" fillId="0" borderId="12" xfId="40" applyNumberFormat="1" applyFont="1" applyBorder="1" applyAlignment="1">
      <alignment horizontal="center" vertical="center"/>
    </xf>
    <xf numFmtId="3" fontId="6" fillId="0" borderId="12" xfId="40" applyNumberFormat="1" applyFont="1" applyBorder="1" applyAlignment="1">
      <alignment horizontal="center" vertical="center"/>
    </xf>
    <xf numFmtId="166" fontId="1" fillId="0" borderId="12" xfId="40" applyNumberForma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166" fontId="1" fillId="0" borderId="10" xfId="40" applyNumberFormat="1" applyFont="1" applyBorder="1" applyAlignment="1">
      <alignment horizontal="center" vertical="center"/>
    </xf>
    <xf numFmtId="0" fontId="0" fillId="0" borderId="10" xfId="0" applyFill="1" applyBorder="1" applyAlignment="1">
      <alignment horizontal="center" vertical="center" wrapText="1"/>
    </xf>
    <xf numFmtId="0" fontId="3" fillId="0" borderId="1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3" fillId="0" borderId="0" xfId="0" applyFont="1" applyFill="1" applyAlignment="1">
      <alignment horizontal="center"/>
    </xf>
    <xf numFmtId="0" fontId="0" fillId="0" borderId="10" xfId="0" applyBorder="1" applyAlignment="1">
      <alignment horizontal="left" vertical="center" wrapText="1"/>
    </xf>
    <xf numFmtId="0" fontId="9" fillId="0" borderId="24" xfId="0" applyFont="1" applyBorder="1"/>
    <xf numFmtId="0" fontId="6" fillId="0" borderId="40" xfId="0" applyFont="1" applyBorder="1" applyAlignment="1">
      <alignment horizontal="center" vertical="center"/>
    </xf>
    <xf numFmtId="0" fontId="9" fillId="0" borderId="19" xfId="0" applyFont="1" applyBorder="1"/>
    <xf numFmtId="0" fontId="6" fillId="0" borderId="17" xfId="0" applyFont="1" applyBorder="1" applyAlignment="1">
      <alignment horizontal="center" vertical="center"/>
    </xf>
    <xf numFmtId="0" fontId="9" fillId="24" borderId="10" xfId="0" applyFont="1" applyFill="1" applyBorder="1"/>
    <xf numFmtId="0" fontId="6" fillId="0" borderId="10" xfId="0" applyFont="1" applyBorder="1" applyAlignment="1"/>
    <xf numFmtId="0" fontId="9" fillId="27" borderId="11" xfId="0" applyFont="1" applyFill="1" applyBorder="1"/>
    <xf numFmtId="0" fontId="9" fillId="25" borderId="10" xfId="0" applyFont="1" applyFill="1" applyBorder="1" applyAlignment="1">
      <alignment horizontal="center" vertical="center"/>
    </xf>
    <xf numFmtId="0" fontId="6" fillId="0" borderId="10" xfId="0" applyFont="1" applyFill="1" applyBorder="1"/>
    <xf numFmtId="0" fontId="6" fillId="0" borderId="10" xfId="0" applyFont="1" applyFill="1" applyBorder="1" applyAlignment="1">
      <alignment horizontal="center" vertical="center"/>
    </xf>
    <xf numFmtId="0" fontId="6" fillId="0" borderId="11" xfId="0" applyFont="1" applyFill="1" applyBorder="1"/>
    <xf numFmtId="3" fontId="6" fillId="0" borderId="12" xfId="40" applyNumberFormat="1" applyFont="1" applyFill="1" applyBorder="1" applyAlignment="1">
      <alignment horizontal="center" vertical="center"/>
    </xf>
    <xf numFmtId="0" fontId="0" fillId="25" borderId="10" xfId="0" applyFill="1" applyBorder="1"/>
    <xf numFmtId="0" fontId="0" fillId="25" borderId="0" xfId="0" applyFill="1"/>
    <xf numFmtId="2" fontId="0" fillId="25" borderId="10" xfId="0" applyNumberFormat="1" applyFill="1" applyBorder="1" applyAlignment="1">
      <alignment horizontal="center"/>
    </xf>
    <xf numFmtId="2" fontId="0" fillId="25" borderId="11" xfId="0" applyNumberFormat="1" applyFill="1" applyBorder="1" applyAlignment="1">
      <alignment horizontal="center"/>
    </xf>
    <xf numFmtId="0" fontId="9" fillId="0" borderId="11" xfId="0" applyFont="1" applyFill="1" applyBorder="1"/>
    <xf numFmtId="2" fontId="0" fillId="0" borderId="11" xfId="0" applyNumberFormat="1" applyFill="1" applyBorder="1" applyAlignment="1">
      <alignment horizontal="center"/>
    </xf>
    <xf numFmtId="0" fontId="0" fillId="0" borderId="10" xfId="0" applyFill="1" applyBorder="1" applyAlignment="1"/>
    <xf numFmtId="2" fontId="0" fillId="0" borderId="10" xfId="0" applyNumberFormat="1" applyFill="1" applyBorder="1" applyAlignment="1">
      <alignment horizontal="center"/>
    </xf>
    <xf numFmtId="0" fontId="9" fillId="25" borderId="11" xfId="0" applyFont="1" applyFill="1" applyBorder="1"/>
    <xf numFmtId="2" fontId="5" fillId="0" borderId="42" xfId="0" applyNumberFormat="1" applyFont="1" applyBorder="1" applyAlignment="1">
      <alignment horizontal="center"/>
    </xf>
    <xf numFmtId="0" fontId="9" fillId="0" borderId="28" xfId="0" applyFont="1" applyBorder="1" applyAlignment="1">
      <alignment horizontal="center" vertical="justify" wrapText="1"/>
    </xf>
    <xf numFmtId="0" fontId="9" fillId="0" borderId="43" xfId="0" applyFont="1" applyBorder="1" applyAlignment="1">
      <alignment horizontal="center" vertical="center" wrapText="1"/>
    </xf>
    <xf numFmtId="0" fontId="36" fillId="0" borderId="44" xfId="38" applyFont="1" applyFill="1" applyBorder="1" applyAlignment="1">
      <alignment wrapText="1"/>
    </xf>
    <xf numFmtId="0" fontId="36" fillId="0" borderId="10" xfId="38" applyFont="1" applyFill="1" applyBorder="1" applyAlignment="1">
      <alignment wrapText="1"/>
    </xf>
    <xf numFmtId="0" fontId="9" fillId="27" borderId="10" xfId="0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0" xfId="0" applyBorder="1"/>
    <xf numFmtId="0" fontId="9" fillId="26" borderId="11" xfId="0" applyFont="1" applyFill="1" applyBorder="1" applyAlignment="1">
      <alignment horizontal="center" vertical="center" wrapText="1"/>
    </xf>
    <xf numFmtId="2" fontId="0" fillId="27" borderId="10" xfId="0" applyNumberFormat="1" applyFill="1" applyBorder="1" applyAlignment="1">
      <alignment horizontal="center"/>
    </xf>
    <xf numFmtId="0" fontId="0" fillId="27" borderId="10" xfId="0" applyFill="1" applyBorder="1"/>
    <xf numFmtId="0" fontId="0" fillId="27" borderId="0" xfId="0" applyFill="1"/>
    <xf numFmtId="2" fontId="0" fillId="27" borderId="11" xfId="0" applyNumberFormat="1" applyFill="1" applyBorder="1" applyAlignment="1">
      <alignment horizontal="center"/>
    </xf>
    <xf numFmtId="2" fontId="0" fillId="26" borderId="11" xfId="0" applyNumberFormat="1" applyFill="1" applyBorder="1" applyAlignment="1">
      <alignment horizontal="center"/>
    </xf>
    <xf numFmtId="0" fontId="0" fillId="26" borderId="0" xfId="0" applyFill="1"/>
    <xf numFmtId="2" fontId="0" fillId="26" borderId="10" xfId="0" applyNumberFormat="1" applyFill="1" applyBorder="1" applyAlignment="1">
      <alignment horizontal="center"/>
    </xf>
    <xf numFmtId="0" fontId="9" fillId="30" borderId="10" xfId="0" applyFont="1" applyFill="1" applyBorder="1" applyAlignment="1">
      <alignment horizontal="center" vertical="center" wrapText="1"/>
    </xf>
    <xf numFmtId="4" fontId="9" fillId="30" borderId="10" xfId="0" applyNumberFormat="1" applyFont="1" applyFill="1" applyBorder="1" applyAlignment="1">
      <alignment horizontal="center" vertical="center"/>
    </xf>
    <xf numFmtId="4" fontId="9" fillId="30" borderId="10" xfId="0" applyNumberFormat="1" applyFont="1" applyFill="1" applyBorder="1" applyAlignment="1">
      <alignment horizontal="center" vertical="center" wrapText="1"/>
    </xf>
    <xf numFmtId="0" fontId="0" fillId="30" borderId="0" xfId="0" applyFill="1"/>
    <xf numFmtId="0" fontId="9" fillId="31" borderId="10" xfId="0" applyFont="1" applyFill="1" applyBorder="1" applyAlignment="1">
      <alignment horizontal="center" vertical="center" wrapText="1"/>
    </xf>
    <xf numFmtId="0" fontId="9" fillId="31" borderId="10" xfId="0" applyFont="1" applyFill="1" applyBorder="1" applyAlignment="1">
      <alignment horizontal="left" vertical="center" wrapText="1"/>
    </xf>
    <xf numFmtId="2" fontId="6" fillId="31" borderId="11" xfId="0" applyNumberFormat="1" applyFont="1" applyFill="1" applyBorder="1" applyAlignment="1">
      <alignment horizontal="center" vertical="center"/>
    </xf>
    <xf numFmtId="0" fontId="6" fillId="31" borderId="10" xfId="0" applyFont="1" applyFill="1" applyBorder="1" applyAlignment="1">
      <alignment horizontal="center" vertical="center"/>
    </xf>
    <xf numFmtId="0" fontId="9" fillId="31" borderId="10" xfId="0" applyFont="1" applyFill="1" applyBorder="1" applyAlignment="1">
      <alignment horizontal="center" vertical="center"/>
    </xf>
    <xf numFmtId="0" fontId="0" fillId="31" borderId="10" xfId="0" applyFill="1" applyBorder="1" applyAlignment="1">
      <alignment horizontal="center" vertical="center" wrapText="1"/>
    </xf>
    <xf numFmtId="4" fontId="9" fillId="31" borderId="10" xfId="0" applyNumberFormat="1" applyFont="1" applyFill="1" applyBorder="1" applyAlignment="1">
      <alignment horizontal="center" vertical="center" wrapText="1"/>
    </xf>
    <xf numFmtId="166" fontId="0" fillId="31" borderId="10" xfId="0" applyNumberFormat="1" applyFill="1" applyBorder="1" applyAlignment="1">
      <alignment horizontal="center" vertical="center"/>
    </xf>
    <xf numFmtId="166" fontId="0" fillId="31" borderId="19" xfId="0" applyNumberFormat="1" applyFill="1" applyBorder="1" applyAlignment="1">
      <alignment horizontal="center" vertical="center"/>
    </xf>
    <xf numFmtId="4" fontId="6" fillId="31" borderId="10" xfId="0" applyNumberFormat="1" applyFont="1" applyFill="1" applyBorder="1" applyAlignment="1">
      <alignment horizontal="center" vertical="center"/>
    </xf>
    <xf numFmtId="0" fontId="9" fillId="31" borderId="28" xfId="40" applyFont="1" applyFill="1" applyBorder="1" applyAlignment="1">
      <alignment horizontal="center" vertical="center" wrapText="1"/>
    </xf>
    <xf numFmtId="0" fontId="9" fillId="31" borderId="28" xfId="0" applyFont="1" applyFill="1" applyBorder="1" applyAlignment="1">
      <alignment horizontal="center" vertical="center" wrapText="1"/>
    </xf>
    <xf numFmtId="0" fontId="0" fillId="31" borderId="10" xfId="0" applyFill="1" applyBorder="1" applyAlignment="1">
      <alignment horizontal="center" vertical="center"/>
    </xf>
    <xf numFmtId="0" fontId="0" fillId="31" borderId="27" xfId="0" applyFill="1" applyBorder="1"/>
    <xf numFmtId="0" fontId="9" fillId="32" borderId="10" xfId="0" applyFont="1" applyFill="1" applyBorder="1"/>
    <xf numFmtId="2" fontId="0" fillId="32" borderId="10" xfId="0" applyNumberFormat="1" applyFill="1" applyBorder="1" applyAlignment="1">
      <alignment horizontal="center"/>
    </xf>
    <xf numFmtId="0" fontId="0" fillId="32" borderId="10" xfId="0" applyFill="1" applyBorder="1"/>
    <xf numFmtId="0" fontId="9" fillId="32" borderId="13" xfId="0" applyFont="1" applyFill="1" applyBorder="1" applyAlignment="1">
      <alignment horizontal="center" vertical="center" wrapText="1"/>
    </xf>
    <xf numFmtId="2" fontId="5" fillId="32" borderId="10" xfId="0" applyNumberFormat="1" applyFont="1" applyFill="1" applyBorder="1" applyAlignment="1">
      <alignment horizontal="center"/>
    </xf>
    <xf numFmtId="0" fontId="6" fillId="32" borderId="13" xfId="0" applyFont="1" applyFill="1" applyBorder="1" applyAlignment="1">
      <alignment horizontal="center" vertical="center"/>
    </xf>
    <xf numFmtId="0" fontId="9" fillId="32" borderId="10" xfId="0" applyFont="1" applyFill="1" applyBorder="1" applyAlignment="1">
      <alignment horizontal="center" vertical="center"/>
    </xf>
    <xf numFmtId="4" fontId="9" fillId="32" borderId="13" xfId="0" applyNumberFormat="1" applyFont="1" applyFill="1" applyBorder="1" applyAlignment="1">
      <alignment horizontal="center" vertical="center"/>
    </xf>
    <xf numFmtId="166" fontId="0" fillId="32" borderId="10" xfId="0" applyNumberFormat="1" applyFill="1" applyBorder="1"/>
    <xf numFmtId="166" fontId="0" fillId="32" borderId="19" xfId="0" applyNumberFormat="1" applyFill="1" applyBorder="1"/>
    <xf numFmtId="4" fontId="6" fillId="32" borderId="13" xfId="0" applyNumberFormat="1" applyFont="1" applyFill="1" applyBorder="1" applyAlignment="1">
      <alignment horizontal="center" vertical="center"/>
    </xf>
    <xf numFmtId="0" fontId="6" fillId="32" borderId="10" xfId="0" applyFont="1" applyFill="1" applyBorder="1"/>
    <xf numFmtId="0" fontId="6" fillId="30" borderId="10" xfId="0" applyFont="1" applyFill="1" applyBorder="1" applyAlignment="1">
      <alignment horizontal="center" vertical="center"/>
    </xf>
    <xf numFmtId="0" fontId="9" fillId="32" borderId="28" xfId="40" applyFont="1" applyFill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2" fontId="0" fillId="0" borderId="12" xfId="0" applyNumberFormat="1" applyBorder="1" applyAlignment="1">
      <alignment horizontal="center" vertical="center"/>
    </xf>
    <xf numFmtId="0" fontId="6" fillId="32" borderId="12" xfId="0" applyFont="1" applyFill="1" applyBorder="1" applyAlignment="1">
      <alignment horizontal="center" vertical="center"/>
    </xf>
    <xf numFmtId="0" fontId="9" fillId="32" borderId="12" xfId="0" applyFont="1" applyFill="1" applyBorder="1" applyAlignment="1">
      <alignment horizontal="center" vertical="center" wrapText="1"/>
    </xf>
    <xf numFmtId="0" fontId="0" fillId="32" borderId="12" xfId="0" applyFill="1" applyBorder="1" applyAlignment="1">
      <alignment horizontal="center" vertical="center" wrapText="1"/>
    </xf>
    <xf numFmtId="0" fontId="9" fillId="32" borderId="31" xfId="0" applyFont="1" applyFill="1" applyBorder="1" applyAlignment="1">
      <alignment horizontal="center" vertical="center" wrapText="1"/>
    </xf>
    <xf numFmtId="2" fontId="6" fillId="30" borderId="13" xfId="0" applyNumberFormat="1" applyFont="1" applyFill="1" applyBorder="1" applyAlignment="1">
      <alignment horizontal="center" vertical="center"/>
    </xf>
    <xf numFmtId="0" fontId="9" fillId="30" borderId="10" xfId="0" applyFont="1" applyFill="1" applyBorder="1" applyAlignment="1">
      <alignment horizontal="center" vertical="center"/>
    </xf>
    <xf numFmtId="0" fontId="0" fillId="30" borderId="10" xfId="0" applyFill="1" applyBorder="1" applyAlignment="1">
      <alignment horizontal="center" vertical="center" wrapText="1"/>
    </xf>
    <xf numFmtId="166" fontId="1" fillId="30" borderId="10" xfId="40" applyNumberFormat="1" applyFont="1" applyFill="1" applyBorder="1" applyAlignment="1">
      <alignment horizontal="center" vertical="center"/>
    </xf>
    <xf numFmtId="4" fontId="6" fillId="30" borderId="10" xfId="0" applyNumberFormat="1" applyFont="1" applyFill="1" applyBorder="1" applyAlignment="1">
      <alignment horizontal="center" vertical="center"/>
    </xf>
    <xf numFmtId="0" fontId="9" fillId="30" borderId="28" xfId="40" applyFont="1" applyFill="1" applyBorder="1" applyAlignment="1">
      <alignment horizontal="center" vertical="center" wrapText="1"/>
    </xf>
    <xf numFmtId="0" fontId="9" fillId="30" borderId="28" xfId="0" applyFont="1" applyFill="1" applyBorder="1" applyAlignment="1">
      <alignment horizontal="center" vertical="center" wrapText="1"/>
    </xf>
    <xf numFmtId="0" fontId="0" fillId="30" borderId="10" xfId="0" applyFill="1" applyBorder="1" applyAlignment="1">
      <alignment horizontal="center" vertical="center"/>
    </xf>
    <xf numFmtId="0" fontId="0" fillId="30" borderId="27" xfId="0" applyFill="1" applyBorder="1"/>
    <xf numFmtId="0" fontId="9" fillId="32" borderId="10" xfId="0" applyFont="1" applyFill="1" applyBorder="1" applyAlignment="1">
      <alignment horizontal="center" vertical="center" wrapText="1"/>
    </xf>
    <xf numFmtId="0" fontId="9" fillId="32" borderId="10" xfId="0" applyFont="1" applyFill="1" applyBorder="1" applyAlignment="1">
      <alignment horizontal="left" vertical="center" wrapText="1"/>
    </xf>
    <xf numFmtId="2" fontId="9" fillId="32" borderId="10" xfId="0" applyNumberFormat="1" applyFont="1" applyFill="1" applyBorder="1" applyAlignment="1">
      <alignment horizontal="center" vertical="center"/>
    </xf>
    <xf numFmtId="166" fontId="9" fillId="32" borderId="10" xfId="0" applyNumberFormat="1" applyFont="1" applyFill="1" applyBorder="1" applyAlignment="1">
      <alignment horizontal="center" vertical="center"/>
    </xf>
    <xf numFmtId="1" fontId="9" fillId="32" borderId="10" xfId="0" applyNumberFormat="1" applyFont="1" applyFill="1" applyBorder="1" applyAlignment="1">
      <alignment horizontal="center" vertical="center"/>
    </xf>
    <xf numFmtId="4" fontId="9" fillId="32" borderId="10" xfId="0" applyNumberFormat="1" applyFont="1" applyFill="1" applyBorder="1" applyAlignment="1">
      <alignment horizontal="center" vertical="center"/>
    </xf>
    <xf numFmtId="4" fontId="9" fillId="32" borderId="10" xfId="0" applyNumberFormat="1" applyFont="1" applyFill="1" applyBorder="1" applyAlignment="1">
      <alignment horizontal="center" vertical="center" wrapText="1"/>
    </xf>
    <xf numFmtId="2" fontId="9" fillId="32" borderId="10" xfId="0" applyNumberFormat="1" applyFont="1" applyFill="1" applyBorder="1" applyAlignment="1">
      <alignment horizontal="center" vertical="center" wrapText="1"/>
    </xf>
    <xf numFmtId="1" fontId="9" fillId="32" borderId="10" xfId="0" applyNumberFormat="1" applyFont="1" applyFill="1" applyBorder="1" applyAlignment="1">
      <alignment horizontal="center" vertical="center" wrapText="1"/>
    </xf>
    <xf numFmtId="0" fontId="7" fillId="32" borderId="10" xfId="0" applyFont="1" applyFill="1" applyBorder="1" applyAlignment="1">
      <alignment horizontal="center" vertical="center" wrapText="1"/>
    </xf>
    <xf numFmtId="0" fontId="0" fillId="32" borderId="0" xfId="0" applyFill="1" applyBorder="1"/>
    <xf numFmtId="0" fontId="6" fillId="32" borderId="10" xfId="0" applyFont="1" applyFill="1" applyBorder="1" applyAlignment="1">
      <alignment horizontal="left" vertical="center" wrapText="1"/>
    </xf>
    <xf numFmtId="166" fontId="9" fillId="32" borderId="10" xfId="0" applyNumberFormat="1" applyFont="1" applyFill="1" applyBorder="1" applyAlignment="1">
      <alignment horizontal="center" vertical="center" wrapText="1"/>
    </xf>
    <xf numFmtId="0" fontId="0" fillId="32" borderId="0" xfId="0" applyFill="1"/>
    <xf numFmtId="0" fontId="9" fillId="32" borderId="10" xfId="39" applyFont="1" applyFill="1" applyBorder="1" applyAlignment="1">
      <alignment horizontal="center" vertical="center" wrapText="1"/>
    </xf>
    <xf numFmtId="0" fontId="9" fillId="32" borderId="10" xfId="39" applyFont="1" applyFill="1" applyBorder="1" applyAlignment="1">
      <alignment horizontal="left" vertical="center" wrapText="1"/>
    </xf>
    <xf numFmtId="0" fontId="9" fillId="32" borderId="28" xfId="0" applyFont="1" applyFill="1" applyBorder="1" applyAlignment="1">
      <alignment horizontal="center" vertical="center" wrapText="1"/>
    </xf>
    <xf numFmtId="0" fontId="10" fillId="32" borderId="10" xfId="0" applyFont="1" applyFill="1" applyBorder="1"/>
    <xf numFmtId="2" fontId="0" fillId="32" borderId="11" xfId="0" applyNumberFormat="1" applyFill="1" applyBorder="1" applyAlignment="1">
      <alignment horizontal="center"/>
    </xf>
    <xf numFmtId="166" fontId="0" fillId="32" borderId="12" xfId="0" applyNumberFormat="1" applyFill="1" applyBorder="1" applyAlignment="1">
      <alignment horizontal="center" vertical="center" wrapText="1"/>
    </xf>
    <xf numFmtId="4" fontId="6" fillId="32" borderId="12" xfId="0" applyNumberFormat="1" applyFont="1" applyFill="1" applyBorder="1" applyAlignment="1">
      <alignment horizontal="center" vertical="center" wrapText="1"/>
    </xf>
    <xf numFmtId="0" fontId="6" fillId="32" borderId="12" xfId="0" applyFont="1" applyFill="1" applyBorder="1" applyAlignment="1">
      <alignment horizontal="center" vertical="center" wrapText="1"/>
    </xf>
    <xf numFmtId="0" fontId="9" fillId="32" borderId="30" xfId="0" applyFont="1" applyFill="1" applyBorder="1" applyAlignment="1">
      <alignment horizontal="center" vertical="center" wrapText="1"/>
    </xf>
    <xf numFmtId="0" fontId="6" fillId="32" borderId="10" xfId="0" applyFont="1" applyFill="1" applyBorder="1" applyAlignment="1">
      <alignment horizontal="center" vertical="center"/>
    </xf>
    <xf numFmtId="2" fontId="6" fillId="32" borderId="11" xfId="0" applyNumberFormat="1" applyFont="1" applyFill="1" applyBorder="1" applyAlignment="1">
      <alignment horizontal="center" vertical="center"/>
    </xf>
    <xf numFmtId="0" fontId="0" fillId="32" borderId="10" xfId="0" applyFill="1" applyBorder="1" applyAlignment="1">
      <alignment horizontal="center" vertical="center" wrapText="1"/>
    </xf>
    <xf numFmtId="166" fontId="0" fillId="32" borderId="10" xfId="0" applyNumberFormat="1" applyFill="1" applyBorder="1" applyAlignment="1">
      <alignment horizontal="center" vertical="center"/>
    </xf>
    <xf numFmtId="4" fontId="6" fillId="32" borderId="10" xfId="0" applyNumberFormat="1" applyFont="1" applyFill="1" applyBorder="1" applyAlignment="1">
      <alignment horizontal="center" vertical="center"/>
    </xf>
    <xf numFmtId="0" fontId="0" fillId="32" borderId="10" xfId="0" applyFill="1" applyBorder="1" applyAlignment="1">
      <alignment horizontal="center" vertical="center"/>
    </xf>
    <xf numFmtId="0" fontId="0" fillId="32" borderId="27" xfId="0" applyFill="1" applyBorder="1"/>
    <xf numFmtId="0" fontId="0" fillId="32" borderId="10" xfId="0" applyFill="1" applyBorder="1" applyAlignment="1"/>
    <xf numFmtId="0" fontId="0" fillId="32" borderId="11" xfId="0" applyFill="1" applyBorder="1" applyAlignment="1"/>
    <xf numFmtId="0" fontId="9" fillId="30" borderId="10" xfId="0" applyFont="1" applyFill="1" applyBorder="1" applyAlignment="1">
      <alignment vertical="center"/>
    </xf>
    <xf numFmtId="2" fontId="6" fillId="30" borderId="11" xfId="0" applyNumberFormat="1" applyFont="1" applyFill="1" applyBorder="1" applyAlignment="1">
      <alignment horizontal="center" vertical="center"/>
    </xf>
    <xf numFmtId="0" fontId="0" fillId="30" borderId="10" xfId="0" applyFill="1" applyBorder="1" applyAlignment="1">
      <alignment vertical="center"/>
    </xf>
    <xf numFmtId="166" fontId="1" fillId="30" borderId="12" xfId="40" applyNumberFormat="1" applyFont="1" applyFill="1" applyBorder="1" applyAlignment="1">
      <alignment horizontal="center" vertical="center"/>
    </xf>
    <xf numFmtId="3" fontId="6" fillId="30" borderId="12" xfId="40" applyNumberFormat="1" applyFont="1" applyFill="1" applyBorder="1" applyAlignment="1">
      <alignment horizontal="center" vertical="center"/>
    </xf>
    <xf numFmtId="0" fontId="9" fillId="30" borderId="31" xfId="40" applyFont="1" applyFill="1" applyBorder="1" applyAlignment="1">
      <alignment horizontal="center" vertical="center" wrapText="1"/>
    </xf>
    <xf numFmtId="0" fontId="9" fillId="32" borderId="19" xfId="0" applyFont="1" applyFill="1" applyBorder="1"/>
    <xf numFmtId="2" fontId="5" fillId="32" borderId="26" xfId="0" applyNumberFormat="1" applyFont="1" applyFill="1" applyBorder="1" applyAlignment="1">
      <alignment horizontal="center"/>
    </xf>
    <xf numFmtId="0" fontId="6" fillId="32" borderId="17" xfId="0" applyFont="1" applyFill="1" applyBorder="1" applyAlignment="1">
      <alignment horizontal="center" vertical="center"/>
    </xf>
    <xf numFmtId="166" fontId="0" fillId="32" borderId="11" xfId="0" applyNumberFormat="1" applyFill="1" applyBorder="1"/>
    <xf numFmtId="166" fontId="0" fillId="32" borderId="24" xfId="0" applyNumberFormat="1" applyFill="1" applyBorder="1"/>
    <xf numFmtId="0" fontId="9" fillId="32" borderId="11" xfId="0" applyFont="1" applyFill="1" applyBorder="1"/>
    <xf numFmtId="0" fontId="6" fillId="32" borderId="13" xfId="0" applyFont="1" applyFill="1" applyBorder="1" applyAlignment="1">
      <alignment horizontal="center" vertical="center"/>
    </xf>
    <xf numFmtId="0" fontId="6" fillId="32" borderId="11" xfId="0" applyFont="1" applyFill="1" applyBorder="1" applyAlignment="1">
      <alignment horizontal="center" vertical="center"/>
    </xf>
    <xf numFmtId="0" fontId="6" fillId="32" borderId="11" xfId="0" applyFont="1" applyFill="1" applyBorder="1"/>
    <xf numFmtId="4" fontId="9" fillId="32" borderId="13" xfId="0" applyNumberFormat="1" applyFont="1" applyFill="1" applyBorder="1" applyAlignment="1">
      <alignment horizontal="center" vertical="center"/>
    </xf>
    <xf numFmtId="4" fontId="9" fillId="32" borderId="11" xfId="0" applyNumberFormat="1" applyFont="1" applyFill="1" applyBorder="1" applyAlignment="1">
      <alignment horizontal="center" vertical="center"/>
    </xf>
    <xf numFmtId="0" fontId="9" fillId="32" borderId="13" xfId="0" applyFont="1" applyFill="1" applyBorder="1" applyAlignment="1">
      <alignment horizontal="center" vertical="center"/>
    </xf>
    <xf numFmtId="0" fontId="9" fillId="32" borderId="13" xfId="0" applyFont="1" applyFill="1" applyBorder="1" applyAlignment="1">
      <alignment horizontal="center" vertical="center" wrapText="1"/>
    </xf>
    <xf numFmtId="0" fontId="9" fillId="32" borderId="11" xfId="0" applyFont="1" applyFill="1" applyBorder="1" applyAlignment="1">
      <alignment horizontal="center" vertical="center" wrapText="1"/>
    </xf>
    <xf numFmtId="4" fontId="6" fillId="32" borderId="13" xfId="0" applyNumberFormat="1" applyFont="1" applyFill="1" applyBorder="1" applyAlignment="1">
      <alignment horizontal="center" vertical="center"/>
    </xf>
    <xf numFmtId="4" fontId="6" fillId="32" borderId="11" xfId="0" applyNumberFormat="1" applyFont="1" applyFill="1" applyBorder="1" applyAlignment="1">
      <alignment horizontal="center" vertical="center"/>
    </xf>
    <xf numFmtId="166" fontId="0" fillId="30" borderId="10" xfId="0" applyNumberFormat="1" applyFill="1" applyBorder="1" applyAlignment="1">
      <alignment horizontal="center" vertical="center"/>
    </xf>
    <xf numFmtId="166" fontId="0" fillId="30" borderId="19" xfId="0" applyNumberFormat="1" applyFill="1" applyBorder="1" applyAlignment="1">
      <alignment horizontal="center" vertical="center"/>
    </xf>
    <xf numFmtId="2" fontId="5" fillId="32" borderId="11" xfId="0" applyNumberFormat="1" applyFont="1" applyFill="1" applyBorder="1" applyAlignment="1">
      <alignment horizontal="center"/>
    </xf>
    <xf numFmtId="0" fontId="9" fillId="32" borderId="11" xfId="0" applyFont="1" applyFill="1" applyBorder="1" applyAlignment="1">
      <alignment horizontal="center" vertical="center"/>
    </xf>
    <xf numFmtId="0" fontId="0" fillId="32" borderId="11" xfId="0" applyFill="1" applyBorder="1"/>
    <xf numFmtId="0" fontId="0" fillId="32" borderId="11" xfId="0" applyFill="1" applyBorder="1" applyAlignment="1">
      <alignment horizontal="center" vertical="center"/>
    </xf>
    <xf numFmtId="2" fontId="5" fillId="32" borderId="10" xfId="0" applyNumberFormat="1" applyFont="1" applyFill="1" applyBorder="1" applyAlignment="1">
      <alignment horizontal="center" vertical="center"/>
    </xf>
    <xf numFmtId="166" fontId="0" fillId="32" borderId="24" xfId="0" applyNumberFormat="1" applyFill="1" applyBorder="1" applyAlignment="1">
      <alignment vertical="center"/>
    </xf>
    <xf numFmtId="0" fontId="9" fillId="32" borderId="10" xfId="0" applyFont="1" applyFill="1" applyBorder="1" applyAlignment="1">
      <alignment vertical="center" wrapText="1"/>
    </xf>
    <xf numFmtId="2" fontId="5" fillId="32" borderId="26" xfId="0" applyNumberFormat="1" applyFont="1" applyFill="1" applyBorder="1" applyAlignment="1">
      <alignment horizontal="center" vertical="center"/>
    </xf>
    <xf numFmtId="0" fontId="6" fillId="32" borderId="19" xfId="0" applyFont="1" applyFill="1" applyBorder="1"/>
    <xf numFmtId="0" fontId="9" fillId="32" borderId="22" xfId="0" applyFont="1" applyFill="1" applyBorder="1"/>
    <xf numFmtId="0" fontId="0" fillId="30" borderId="10" xfId="0" applyFill="1" applyBorder="1"/>
    <xf numFmtId="0" fontId="9" fillId="30" borderId="10" xfId="0" applyFont="1" applyFill="1" applyBorder="1"/>
    <xf numFmtId="2" fontId="0" fillId="30" borderId="10" xfId="0" applyNumberFormat="1" applyFill="1" applyBorder="1" applyAlignment="1">
      <alignment horizontal="center"/>
    </xf>
    <xf numFmtId="2" fontId="0" fillId="30" borderId="11" xfId="0" applyNumberFormat="1" applyFill="1" applyBorder="1" applyAlignment="1">
      <alignment horizontal="center"/>
    </xf>
    <xf numFmtId="2" fontId="6" fillId="30" borderId="36" xfId="0" applyNumberFormat="1" applyFont="1" applyFill="1" applyBorder="1" applyAlignment="1">
      <alignment horizontal="center" vertical="center"/>
    </xf>
    <xf numFmtId="0" fontId="9" fillId="30" borderId="30" xfId="40" applyFont="1" applyFill="1" applyBorder="1" applyAlignment="1">
      <alignment horizontal="center" vertical="center" wrapText="1"/>
    </xf>
    <xf numFmtId="0" fontId="9" fillId="30" borderId="12" xfId="0" applyFont="1" applyFill="1" applyBorder="1" applyAlignment="1">
      <alignment horizontal="center" vertical="center"/>
    </xf>
    <xf numFmtId="0" fontId="0" fillId="30" borderId="12" xfId="0" applyFill="1" applyBorder="1" applyAlignment="1">
      <alignment horizontal="center" vertical="center"/>
    </xf>
    <xf numFmtId="4" fontId="6" fillId="32" borderId="13" xfId="0" applyNumberFormat="1" applyFont="1" applyFill="1" applyBorder="1" applyAlignment="1">
      <alignment horizontal="center" vertical="center"/>
    </xf>
    <xf numFmtId="166" fontId="1" fillId="30" borderId="12" xfId="40" applyNumberFormat="1" applyFill="1" applyBorder="1" applyAlignment="1">
      <alignment horizontal="center" vertical="center"/>
    </xf>
    <xf numFmtId="0" fontId="0" fillId="32" borderId="12" xfId="0" applyFill="1" applyBorder="1" applyAlignment="1">
      <alignment horizontal="center" vertical="center"/>
    </xf>
    <xf numFmtId="0" fontId="9" fillId="32" borderId="11" xfId="0" applyFont="1" applyFill="1" applyBorder="1" applyAlignment="1">
      <alignment horizontal="center" vertical="center" wrapText="1"/>
    </xf>
    <xf numFmtId="4" fontId="6" fillId="32" borderId="11" xfId="0" applyNumberFormat="1" applyFont="1" applyFill="1" applyBorder="1" applyAlignment="1">
      <alignment horizontal="center" vertical="center"/>
    </xf>
    <xf numFmtId="4" fontId="6" fillId="30" borderId="12" xfId="40" applyNumberFormat="1" applyFont="1" applyFill="1" applyBorder="1" applyAlignment="1">
      <alignment horizontal="center" vertical="center"/>
    </xf>
    <xf numFmtId="4" fontId="9" fillId="32" borderId="11" xfId="0" applyNumberFormat="1" applyFont="1" applyFill="1" applyBorder="1" applyAlignment="1">
      <alignment horizontal="center" vertical="center"/>
    </xf>
    <xf numFmtId="0" fontId="9" fillId="32" borderId="12" xfId="0" applyFont="1" applyFill="1" applyBorder="1" applyAlignment="1">
      <alignment horizontal="center" vertical="center"/>
    </xf>
    <xf numFmtId="0" fontId="6" fillId="32" borderId="11" xfId="0" applyFont="1" applyFill="1" applyBorder="1" applyAlignment="1">
      <alignment horizontal="center" vertical="center"/>
    </xf>
    <xf numFmtId="0" fontId="0" fillId="32" borderId="18" xfId="0" applyFill="1" applyBorder="1"/>
    <xf numFmtId="166" fontId="9" fillId="32" borderId="10" xfId="0" applyNumberFormat="1" applyFont="1" applyFill="1" applyBorder="1" applyAlignment="1">
      <alignment horizontal="left" vertical="center" wrapText="1"/>
    </xf>
    <xf numFmtId="166" fontId="0" fillId="32" borderId="19" xfId="0" applyNumberFormat="1" applyFill="1" applyBorder="1" applyAlignment="1">
      <alignment horizontal="center" vertical="center"/>
    </xf>
    <xf numFmtId="0" fontId="9" fillId="32" borderId="10" xfId="0" applyFont="1" applyFill="1" applyBorder="1" applyAlignment="1">
      <alignment vertical="center"/>
    </xf>
    <xf numFmtId="0" fontId="0" fillId="32" borderId="10" xfId="0" applyFill="1" applyBorder="1" applyAlignment="1">
      <alignment vertical="center"/>
    </xf>
    <xf numFmtId="166" fontId="1" fillId="32" borderId="12" xfId="40" applyNumberFormat="1" applyFont="1" applyFill="1" applyBorder="1" applyAlignment="1">
      <alignment horizontal="center" vertical="center"/>
    </xf>
    <xf numFmtId="166" fontId="1" fillId="32" borderId="12" xfId="40" applyNumberFormat="1" applyFill="1" applyBorder="1" applyAlignment="1">
      <alignment horizontal="center" vertical="center"/>
    </xf>
    <xf numFmtId="4" fontId="6" fillId="32" borderId="12" xfId="40" applyNumberFormat="1" applyFont="1" applyFill="1" applyBorder="1" applyAlignment="1">
      <alignment horizontal="center" vertical="center"/>
    </xf>
    <xf numFmtId="3" fontId="6" fillId="32" borderId="12" xfId="40" applyNumberFormat="1" applyFont="1" applyFill="1" applyBorder="1" applyAlignment="1">
      <alignment horizontal="center" vertical="center"/>
    </xf>
    <xf numFmtId="2" fontId="0" fillId="32" borderId="13" xfId="0" applyNumberFormat="1" applyFill="1" applyBorder="1" applyAlignment="1">
      <alignment horizontal="center"/>
    </xf>
    <xf numFmtId="2" fontId="0" fillId="32" borderId="12" xfId="0" applyNumberFormat="1" applyFill="1" applyBorder="1" applyAlignment="1">
      <alignment horizontal="center"/>
    </xf>
    <xf numFmtId="0" fontId="6" fillId="32" borderId="14" xfId="0" applyFont="1" applyFill="1" applyBorder="1" applyAlignment="1">
      <alignment horizontal="center" vertical="center"/>
    </xf>
    <xf numFmtId="3" fontId="6" fillId="32" borderId="25" xfId="40" applyNumberFormat="1" applyFont="1" applyFill="1" applyBorder="1" applyAlignment="1">
      <alignment horizontal="center" vertical="center"/>
    </xf>
    <xf numFmtId="0" fontId="9" fillId="32" borderId="60" xfId="40" applyFont="1" applyFill="1" applyBorder="1" applyAlignment="1">
      <alignment horizontal="center" vertical="center" wrapText="1"/>
    </xf>
    <xf numFmtId="0" fontId="9" fillId="32" borderId="12" xfId="0" applyFont="1" applyFill="1" applyBorder="1" applyAlignment="1">
      <alignment horizontal="center" vertical="center"/>
    </xf>
    <xf numFmtId="0" fontId="0" fillId="32" borderId="12" xfId="0" applyFill="1" applyBorder="1" applyAlignment="1">
      <alignment horizontal="center" vertical="center"/>
    </xf>
    <xf numFmtId="0" fontId="6" fillId="30" borderId="10" xfId="0" applyFont="1" applyFill="1" applyBorder="1" applyAlignment="1">
      <alignment horizontal="left" vertical="center" wrapText="1"/>
    </xf>
    <xf numFmtId="0" fontId="9" fillId="30" borderId="10" xfId="0" applyFont="1" applyFill="1" applyBorder="1" applyAlignment="1">
      <alignment horizontal="left" vertical="center" wrapText="1"/>
    </xf>
    <xf numFmtId="2" fontId="9" fillId="30" borderId="10" xfId="0" applyNumberFormat="1" applyFont="1" applyFill="1" applyBorder="1" applyAlignment="1">
      <alignment horizontal="center" vertical="center"/>
    </xf>
    <xf numFmtId="166" fontId="9" fillId="30" borderId="10" xfId="0" applyNumberFormat="1" applyFont="1" applyFill="1" applyBorder="1" applyAlignment="1">
      <alignment horizontal="center" vertical="center"/>
    </xf>
    <xf numFmtId="166" fontId="9" fillId="30" borderId="10" xfId="0" applyNumberFormat="1" applyFont="1" applyFill="1" applyBorder="1" applyAlignment="1">
      <alignment horizontal="center" vertical="center" wrapText="1"/>
    </xf>
    <xf numFmtId="1" fontId="9" fillId="30" borderId="10" xfId="0" applyNumberFormat="1" applyFont="1" applyFill="1" applyBorder="1" applyAlignment="1">
      <alignment horizontal="center" vertical="center"/>
    </xf>
    <xf numFmtId="2" fontId="9" fillId="30" borderId="10" xfId="0" applyNumberFormat="1" applyFont="1" applyFill="1" applyBorder="1" applyAlignment="1">
      <alignment horizontal="center" vertical="center" wrapText="1"/>
    </xf>
    <xf numFmtId="1" fontId="9" fillId="30" borderId="10" xfId="0" applyNumberFormat="1" applyFont="1" applyFill="1" applyBorder="1" applyAlignment="1">
      <alignment horizontal="center" vertical="center" wrapText="1"/>
    </xf>
    <xf numFmtId="0" fontId="6" fillId="30" borderId="10" xfId="0" applyFont="1" applyFill="1" applyBorder="1" applyAlignment="1">
      <alignment horizontal="center" vertical="center" wrapText="1"/>
    </xf>
    <xf numFmtId="0" fontId="7" fillId="30" borderId="10" xfId="0" applyFont="1" applyFill="1" applyBorder="1" applyAlignment="1">
      <alignment horizontal="center" vertical="center" wrapText="1"/>
    </xf>
    <xf numFmtId="0" fontId="9" fillId="30" borderId="10" xfId="39" applyFont="1" applyFill="1" applyBorder="1" applyAlignment="1">
      <alignment horizontal="center" vertical="center" wrapText="1"/>
    </xf>
    <xf numFmtId="0" fontId="9" fillId="30" borderId="10" xfId="39" applyFont="1" applyFill="1" applyBorder="1" applyAlignment="1">
      <alignment horizontal="left" vertical="center" wrapText="1"/>
    </xf>
    <xf numFmtId="0" fontId="8" fillId="30" borderId="10" xfId="0" applyFont="1" applyFill="1" applyBorder="1" applyAlignment="1">
      <alignment horizontal="center" vertical="center"/>
    </xf>
    <xf numFmtId="0" fontId="0" fillId="30" borderId="0" xfId="0" applyFill="1" applyBorder="1"/>
    <xf numFmtId="0" fontId="9" fillId="32" borderId="19" xfId="0" applyFont="1" applyFill="1" applyBorder="1" applyAlignment="1">
      <alignment horizontal="left" vertical="center" wrapText="1"/>
    </xf>
    <xf numFmtId="0" fontId="6" fillId="32" borderId="10" xfId="0" applyFont="1" applyFill="1" applyBorder="1" applyAlignment="1">
      <alignment horizontal="center" vertical="center" wrapText="1"/>
    </xf>
    <xf numFmtId="0" fontId="9" fillId="32" borderId="25" xfId="0" applyFont="1" applyFill="1" applyBorder="1" applyAlignment="1">
      <alignment horizontal="left" vertical="center" wrapText="1"/>
    </xf>
    <xf numFmtId="0" fontId="7" fillId="32" borderId="12" xfId="0" applyFont="1" applyFill="1" applyBorder="1" applyAlignment="1">
      <alignment horizontal="center" vertical="center" wrapText="1"/>
    </xf>
    <xf numFmtId="0" fontId="9" fillId="32" borderId="10" xfId="0" applyFont="1" applyFill="1" applyBorder="1" applyAlignment="1">
      <alignment wrapText="1"/>
    </xf>
    <xf numFmtId="2" fontId="6" fillId="32" borderId="10" xfId="0" applyNumberFormat="1" applyFont="1" applyFill="1" applyBorder="1" applyAlignment="1">
      <alignment horizontal="center"/>
    </xf>
    <xf numFmtId="0" fontId="9" fillId="32" borderId="19" xfId="0" applyFont="1" applyFill="1" applyBorder="1" applyAlignment="1">
      <alignment horizontal="center" vertical="center" wrapText="1"/>
    </xf>
    <xf numFmtId="0" fontId="9" fillId="32" borderId="31" xfId="40" applyFont="1" applyFill="1" applyBorder="1" applyAlignment="1">
      <alignment horizontal="center" vertical="center" wrapText="1"/>
    </xf>
    <xf numFmtId="0" fontId="7" fillId="0" borderId="17" xfId="0" applyFont="1" applyFill="1" applyBorder="1" applyAlignment="1">
      <alignment horizontal="center" vertical="center" wrapText="1"/>
    </xf>
    <xf numFmtId="0" fontId="9" fillId="0" borderId="22" xfId="0" applyFont="1" applyFill="1" applyBorder="1" applyAlignment="1">
      <alignment horizontal="center" vertical="center" wrapText="1"/>
    </xf>
    <xf numFmtId="0" fontId="9" fillId="0" borderId="12" xfId="0" applyFont="1" applyFill="1" applyBorder="1" applyAlignment="1">
      <alignment horizontal="center" vertical="center" wrapText="1"/>
    </xf>
    <xf numFmtId="0" fontId="9" fillId="0" borderId="22" xfId="0" applyFont="1" applyFill="1" applyBorder="1" applyAlignment="1">
      <alignment horizontal="left" vertical="center" wrapText="1"/>
    </xf>
    <xf numFmtId="0" fontId="9" fillId="0" borderId="18" xfId="0" applyFont="1" applyFill="1" applyBorder="1" applyAlignment="1">
      <alignment horizontal="left" vertical="center" wrapText="1"/>
    </xf>
    <xf numFmtId="0" fontId="9" fillId="30" borderId="22" xfId="0" applyFont="1" applyFill="1" applyBorder="1" applyAlignment="1">
      <alignment horizontal="left" vertical="center" wrapText="1"/>
    </xf>
    <xf numFmtId="0" fontId="9" fillId="32" borderId="22" xfId="0" applyFont="1" applyFill="1" applyBorder="1" applyAlignment="1">
      <alignment horizontal="left" vertical="center" wrapText="1"/>
    </xf>
    <xf numFmtId="0" fontId="7" fillId="0" borderId="22" xfId="0" applyFont="1" applyFill="1" applyBorder="1" applyAlignment="1">
      <alignment horizontal="center" vertical="center" wrapText="1"/>
    </xf>
    <xf numFmtId="0" fontId="9" fillId="0" borderId="40" xfId="0" applyFont="1" applyFill="1" applyBorder="1" applyAlignment="1">
      <alignment horizontal="left" vertical="center" wrapText="1"/>
    </xf>
    <xf numFmtId="0" fontId="2" fillId="0" borderId="22" xfId="0" applyFont="1" applyFill="1" applyBorder="1"/>
    <xf numFmtId="0" fontId="9" fillId="0" borderId="18" xfId="0" applyFont="1" applyFill="1" applyBorder="1" applyAlignment="1">
      <alignment horizontal="center" vertical="center" wrapText="1"/>
    </xf>
    <xf numFmtId="0" fontId="9" fillId="32" borderId="18" xfId="0" applyFont="1" applyFill="1" applyBorder="1" applyAlignment="1">
      <alignment horizontal="left" vertical="center" wrapText="1"/>
    </xf>
    <xf numFmtId="0" fontId="9" fillId="32" borderId="59" xfId="0" applyFont="1" applyFill="1" applyBorder="1" applyAlignment="1">
      <alignment horizontal="left" vertical="center" wrapText="1"/>
    </xf>
    <xf numFmtId="0" fontId="9" fillId="0" borderId="10" xfId="0" applyFont="1" applyFill="1" applyBorder="1" applyAlignment="1">
      <alignment horizontal="center" vertical="center" wrapText="1"/>
    </xf>
    <xf numFmtId="2" fontId="9" fillId="0" borderId="10" xfId="0" applyNumberFormat="1" applyFont="1" applyFill="1" applyBorder="1" applyAlignment="1">
      <alignment horizontal="center" vertical="center" wrapText="1"/>
    </xf>
    <xf numFmtId="2" fontId="9" fillId="0" borderId="10" xfId="0" applyNumberFormat="1" applyFont="1" applyFill="1" applyBorder="1" applyAlignment="1">
      <alignment horizontal="left" vertical="center"/>
    </xf>
    <xf numFmtId="2" fontId="9" fillId="0" borderId="10" xfId="0" applyNumberFormat="1" applyFont="1" applyFill="1" applyBorder="1" applyAlignment="1">
      <alignment vertical="center" wrapText="1"/>
    </xf>
    <xf numFmtId="0" fontId="9" fillId="0" borderId="10" xfId="0" applyFont="1" applyFill="1" applyBorder="1" applyAlignment="1">
      <alignment horizontal="center" vertical="center"/>
    </xf>
    <xf numFmtId="0" fontId="16" fillId="0" borderId="10" xfId="0" applyFont="1" applyFill="1" applyBorder="1" applyAlignment="1">
      <alignment horizontal="left" vertical="center" wrapText="1"/>
    </xf>
    <xf numFmtId="49" fontId="9" fillId="0" borderId="10" xfId="0" applyNumberFormat="1" applyFont="1" applyFill="1" applyBorder="1" applyAlignment="1">
      <alignment horizontal="center" wrapText="1"/>
    </xf>
    <xf numFmtId="0" fontId="16" fillId="0" borderId="10" xfId="0" applyFont="1" applyFill="1" applyBorder="1" applyAlignment="1">
      <alignment horizontal="center" vertical="center" wrapText="1"/>
    </xf>
    <xf numFmtId="0" fontId="16" fillId="0" borderId="10" xfId="0" quotePrefix="1" applyFont="1" applyFill="1" applyBorder="1" applyAlignment="1">
      <alignment horizontal="center" vertical="center" wrapText="1"/>
    </xf>
    <xf numFmtId="2" fontId="6" fillId="0" borderId="10" xfId="0" applyNumberFormat="1" applyFont="1" applyFill="1" applyBorder="1" applyAlignment="1">
      <alignment horizontal="center" vertical="center" wrapText="1"/>
    </xf>
    <xf numFmtId="166" fontId="6" fillId="0" borderId="10" xfId="0" applyNumberFormat="1" applyFont="1" applyFill="1" applyBorder="1" applyAlignment="1">
      <alignment horizontal="center" vertical="center"/>
    </xf>
    <xf numFmtId="4" fontId="0" fillId="0" borderId="10" xfId="0" applyNumberFormat="1" applyFill="1" applyBorder="1" applyAlignment="1">
      <alignment horizontal="center" vertical="center"/>
    </xf>
    <xf numFmtId="0" fontId="7" fillId="0" borderId="10" xfId="0" quotePrefix="1" applyFont="1" applyFill="1" applyBorder="1" applyAlignment="1">
      <alignment horizontal="center" vertical="center" wrapText="1"/>
    </xf>
    <xf numFmtId="0" fontId="6" fillId="0" borderId="61" xfId="0" applyFont="1" applyFill="1" applyBorder="1" applyAlignment="1">
      <alignment horizontal="center" vertical="center" wrapText="1"/>
    </xf>
    <xf numFmtId="0" fontId="6" fillId="0" borderId="22" xfId="0" applyFont="1" applyFill="1" applyBorder="1" applyAlignment="1">
      <alignment horizontal="center" vertical="center" wrapText="1"/>
    </xf>
    <xf numFmtId="0" fontId="6" fillId="0" borderId="12" xfId="0" applyFont="1" applyFill="1" applyBorder="1" applyAlignment="1">
      <alignment horizontal="left" vertical="center" wrapText="1"/>
    </xf>
    <xf numFmtId="0" fontId="38" fillId="0" borderId="10" xfId="0" quotePrefix="1" applyFont="1" applyFill="1" applyBorder="1" applyAlignment="1">
      <alignment horizontal="center" vertical="center"/>
    </xf>
    <xf numFmtId="0" fontId="9" fillId="0" borderId="62" xfId="0" applyFont="1" applyFill="1" applyBorder="1" applyAlignment="1">
      <alignment horizontal="left" vertical="center" wrapText="1"/>
    </xf>
    <xf numFmtId="0" fontId="9" fillId="32" borderId="62" xfId="0" applyFont="1" applyFill="1" applyBorder="1" applyAlignment="1">
      <alignment horizontal="left" vertical="center" wrapText="1"/>
    </xf>
    <xf numFmtId="0" fontId="6" fillId="32" borderId="61" xfId="0" applyFont="1" applyFill="1" applyBorder="1" applyAlignment="1">
      <alignment horizontal="center" vertical="center" wrapText="1"/>
    </xf>
    <xf numFmtId="0" fontId="6" fillId="32" borderId="22" xfId="0" applyFont="1" applyFill="1" applyBorder="1" applyAlignment="1">
      <alignment horizontal="center" vertical="center" wrapText="1"/>
    </xf>
    <xf numFmtId="0" fontId="6" fillId="32" borderId="12" xfId="0" applyFont="1" applyFill="1" applyBorder="1" applyAlignment="1">
      <alignment horizontal="left" vertical="center" wrapText="1"/>
    </xf>
    <xf numFmtId="0" fontId="6" fillId="32" borderId="23" xfId="0" applyFont="1" applyFill="1" applyBorder="1" applyAlignment="1">
      <alignment horizontal="center" vertical="center" wrapText="1"/>
    </xf>
    <xf numFmtId="0" fontId="38" fillId="32" borderId="10" xfId="0" applyFont="1" applyFill="1" applyBorder="1" applyAlignment="1">
      <alignment horizontal="center" vertical="center"/>
    </xf>
    <xf numFmtId="0" fontId="6" fillId="0" borderId="23" xfId="0" applyFont="1" applyFill="1" applyBorder="1" applyAlignment="1">
      <alignment horizontal="center" vertical="center" wrapText="1"/>
    </xf>
    <xf numFmtId="0" fontId="38" fillId="0" borderId="10" xfId="0" applyFont="1" applyFill="1" applyBorder="1" applyAlignment="1">
      <alignment horizontal="center" vertical="center"/>
    </xf>
    <xf numFmtId="0" fontId="6" fillId="30" borderId="61" xfId="0" applyFont="1" applyFill="1" applyBorder="1" applyAlignment="1">
      <alignment horizontal="center" vertical="center" wrapText="1"/>
    </xf>
    <xf numFmtId="0" fontId="6" fillId="30" borderId="23" xfId="0" applyFont="1" applyFill="1" applyBorder="1" applyAlignment="1">
      <alignment horizontal="center" vertical="center" wrapText="1"/>
    </xf>
    <xf numFmtId="0" fontId="6" fillId="30" borderId="12" xfId="0" applyFont="1" applyFill="1" applyBorder="1" applyAlignment="1">
      <alignment horizontal="left" vertical="center" wrapText="1"/>
    </xf>
    <xf numFmtId="0" fontId="38" fillId="30" borderId="10" xfId="0" applyFont="1" applyFill="1" applyBorder="1" applyAlignment="1">
      <alignment horizontal="center" vertical="center"/>
    </xf>
    <xf numFmtId="0" fontId="9" fillId="33" borderId="62" xfId="0" applyFont="1" applyFill="1" applyBorder="1" applyAlignment="1">
      <alignment horizontal="left" vertical="center" wrapText="1"/>
    </xf>
    <xf numFmtId="0" fontId="9" fillId="30" borderId="12" xfId="0" applyFont="1" applyFill="1" applyBorder="1" applyAlignment="1">
      <alignment horizontal="center" vertical="center" wrapText="1"/>
    </xf>
    <xf numFmtId="0" fontId="9" fillId="0" borderId="10" xfId="0" applyFont="1" applyFill="1" applyBorder="1" applyAlignment="1">
      <alignment horizontal="center" vertical="center" wrapText="1"/>
    </xf>
    <xf numFmtId="2" fontId="9" fillId="0" borderId="10" xfId="0" applyNumberFormat="1" applyFont="1" applyFill="1" applyBorder="1" applyAlignment="1">
      <alignment horizontal="center" vertical="center" wrapText="1"/>
    </xf>
    <xf numFmtId="0" fontId="9" fillId="0" borderId="11" xfId="0" applyFont="1" applyFill="1" applyBorder="1" applyAlignment="1">
      <alignment horizontal="center" vertical="center" wrapText="1"/>
    </xf>
    <xf numFmtId="0" fontId="9" fillId="32" borderId="30" xfId="0" applyFont="1" applyFill="1" applyBorder="1" applyAlignment="1">
      <alignment horizontal="center" vertical="center" wrapText="1"/>
    </xf>
    <xf numFmtId="0" fontId="9" fillId="30" borderId="11" xfId="0" applyFont="1" applyFill="1" applyBorder="1"/>
    <xf numFmtId="0" fontId="9" fillId="30" borderId="62" xfId="0" applyFont="1" applyFill="1" applyBorder="1" applyAlignment="1">
      <alignment horizontal="left" vertical="center" wrapText="1"/>
    </xf>
    <xf numFmtId="0" fontId="6" fillId="30" borderId="22" xfId="0" applyFont="1" applyFill="1" applyBorder="1" applyAlignment="1">
      <alignment horizontal="center" vertical="center" wrapText="1"/>
    </xf>
    <xf numFmtId="0" fontId="38" fillId="30" borderId="10" xfId="0" quotePrefix="1" applyFont="1" applyFill="1" applyBorder="1" applyAlignment="1">
      <alignment horizontal="center" vertical="center"/>
    </xf>
    <xf numFmtId="0" fontId="9" fillId="30" borderId="63" xfId="0" applyFont="1" applyFill="1" applyBorder="1" applyAlignment="1">
      <alignment horizontal="left" vertical="center" wrapText="1"/>
    </xf>
    <xf numFmtId="0" fontId="9" fillId="30" borderId="0" xfId="0" applyFont="1" applyFill="1" applyBorder="1" applyAlignment="1">
      <alignment horizontal="left" vertical="center" wrapText="1"/>
    </xf>
    <xf numFmtId="0" fontId="9" fillId="30" borderId="36" xfId="0" applyFont="1" applyFill="1" applyBorder="1" applyAlignment="1">
      <alignment horizontal="left" vertical="center" wrapText="1"/>
    </xf>
    <xf numFmtId="0" fontId="7" fillId="0" borderId="11" xfId="0" applyFont="1" applyFill="1" applyBorder="1" applyAlignment="1">
      <alignment horizontal="center" vertical="center" wrapText="1"/>
    </xf>
    <xf numFmtId="1" fontId="9" fillId="0" borderId="11" xfId="0" applyNumberFormat="1" applyFont="1" applyFill="1" applyBorder="1" applyAlignment="1">
      <alignment horizontal="center" vertical="center" wrapText="1"/>
    </xf>
    <xf numFmtId="166" fontId="9" fillId="0" borderId="11" xfId="0" applyNumberFormat="1" applyFont="1" applyFill="1" applyBorder="1" applyAlignment="1">
      <alignment horizontal="center" vertical="center"/>
    </xf>
    <xf numFmtId="0" fontId="0" fillId="0" borderId="27" xfId="0" applyFill="1" applyBorder="1"/>
    <xf numFmtId="0" fontId="15" fillId="0" borderId="10" xfId="0" applyFont="1" applyFill="1" applyBorder="1" applyAlignment="1">
      <alignment horizontal="center" vertical="center" wrapText="1"/>
    </xf>
    <xf numFmtId="0" fontId="5" fillId="0" borderId="10" xfId="0" applyFont="1" applyFill="1" applyBorder="1" applyAlignment="1">
      <alignment horizontal="center" vertical="center" wrapText="1"/>
    </xf>
    <xf numFmtId="0" fontId="4" fillId="0" borderId="45" xfId="0" applyFont="1" applyFill="1" applyBorder="1" applyAlignment="1">
      <alignment horizontal="center" vertical="center" wrapText="1"/>
    </xf>
    <xf numFmtId="0" fontId="4" fillId="0" borderId="13" xfId="0" applyFont="1" applyFill="1" applyBorder="1" applyAlignment="1">
      <alignment horizontal="center" vertical="center" wrapText="1"/>
    </xf>
    <xf numFmtId="0" fontId="16" fillId="0" borderId="10" xfId="0" applyFont="1" applyFill="1" applyBorder="1" applyAlignment="1">
      <alignment horizontal="center" vertical="center" wrapText="1"/>
    </xf>
    <xf numFmtId="0" fontId="9" fillId="0" borderId="10" xfId="0" applyFont="1" applyFill="1" applyBorder="1"/>
    <xf numFmtId="0" fontId="9" fillId="0" borderId="10" xfId="0" applyFont="1" applyFill="1" applyBorder="1" applyAlignment="1">
      <alignment horizontal="center" vertical="center" wrapText="1"/>
    </xf>
    <xf numFmtId="4" fontId="7" fillId="0" borderId="57" xfId="0" applyNumberFormat="1" applyFont="1" applyFill="1" applyBorder="1" applyAlignment="1">
      <alignment horizontal="center" vertical="center" wrapText="1"/>
    </xf>
    <xf numFmtId="4" fontId="0" fillId="0" borderId="17" xfId="0" applyNumberFormat="1" applyBorder="1" applyAlignment="1">
      <alignment horizontal="center" vertical="center"/>
    </xf>
    <xf numFmtId="4" fontId="0" fillId="0" borderId="58" xfId="0" applyNumberFormat="1" applyBorder="1" applyAlignment="1">
      <alignment horizontal="center" vertical="center"/>
    </xf>
    <xf numFmtId="0" fontId="6" fillId="0" borderId="49" xfId="0" applyFont="1" applyFill="1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0" fontId="9" fillId="0" borderId="10" xfId="0" applyFont="1" applyFill="1" applyBorder="1" applyAlignment="1">
      <alignment horizontal="center" vertical="center"/>
    </xf>
    <xf numFmtId="0" fontId="6" fillId="0" borderId="45" xfId="0" applyFont="1" applyFill="1" applyBorder="1" applyAlignment="1">
      <alignment horizontal="center" vertical="center" wrapText="1"/>
    </xf>
    <xf numFmtId="0" fontId="6" fillId="0" borderId="13" xfId="0" applyFont="1" applyFill="1" applyBorder="1" applyAlignment="1">
      <alignment horizontal="center" vertical="center" wrapText="1"/>
    </xf>
    <xf numFmtId="0" fontId="6" fillId="0" borderId="16" xfId="0" applyFont="1" applyFill="1" applyBorder="1" applyAlignment="1">
      <alignment horizontal="center" vertical="center" wrapText="1"/>
    </xf>
    <xf numFmtId="2" fontId="9" fillId="0" borderId="10" xfId="0" applyNumberFormat="1" applyFont="1" applyFill="1" applyBorder="1" applyAlignment="1">
      <alignment horizontal="center" vertical="center" wrapText="1"/>
    </xf>
    <xf numFmtId="0" fontId="7" fillId="0" borderId="45" xfId="0" applyFont="1" applyFill="1" applyBorder="1" applyAlignment="1">
      <alignment horizontal="center" vertical="center" wrapText="1"/>
    </xf>
    <xf numFmtId="0" fontId="7" fillId="0" borderId="13" xfId="0" applyFont="1" applyFill="1" applyBorder="1" applyAlignment="1">
      <alignment horizontal="center" vertical="center" wrapText="1"/>
    </xf>
    <xf numFmtId="0" fontId="7" fillId="0" borderId="16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2" fontId="5" fillId="0" borderId="0" xfId="0" applyNumberFormat="1" applyFont="1" applyAlignment="1">
      <alignment horizontal="center"/>
    </xf>
    <xf numFmtId="0" fontId="9" fillId="0" borderId="10" xfId="0" applyFont="1" applyBorder="1"/>
    <xf numFmtId="4" fontId="16" fillId="0" borderId="10" xfId="0" applyNumberFormat="1" applyFont="1" applyFill="1" applyBorder="1" applyAlignment="1">
      <alignment horizontal="center" vertical="center" wrapText="1"/>
    </xf>
    <xf numFmtId="4" fontId="9" fillId="0" borderId="10" xfId="0" applyNumberFormat="1" applyFont="1" applyBorder="1" applyAlignment="1">
      <alignment horizontal="center" vertical="center"/>
    </xf>
    <xf numFmtId="49" fontId="9" fillId="0" borderId="10" xfId="0" applyNumberFormat="1" applyFont="1" applyFill="1" applyBorder="1" applyAlignment="1">
      <alignment horizontal="center" wrapText="1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9" fillId="0" borderId="12" xfId="0" applyFont="1" applyFill="1" applyBorder="1" applyAlignment="1">
      <alignment horizontal="center" vertical="center"/>
    </xf>
    <xf numFmtId="0" fontId="9" fillId="0" borderId="13" xfId="0" applyFont="1" applyFill="1" applyBorder="1" applyAlignment="1">
      <alignment horizontal="center" vertical="center"/>
    </xf>
    <xf numFmtId="0" fontId="9" fillId="0" borderId="11" xfId="0" applyFont="1" applyFill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12" xfId="0" applyFont="1" applyFill="1" applyBorder="1" applyAlignment="1">
      <alignment horizontal="center" vertical="center" wrapText="1"/>
    </xf>
    <xf numFmtId="0" fontId="9" fillId="0" borderId="13" xfId="0" applyFont="1" applyFill="1" applyBorder="1" applyAlignment="1">
      <alignment horizontal="center" vertical="center" wrapText="1"/>
    </xf>
    <xf numFmtId="0" fontId="9" fillId="0" borderId="11" xfId="0" applyFont="1" applyFill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0" fillId="0" borderId="12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2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9" fillId="0" borderId="25" xfId="0" applyFont="1" applyBorder="1" applyAlignment="1">
      <alignment horizontal="center" vertical="center" wrapText="1"/>
    </xf>
    <xf numFmtId="0" fontId="9" fillId="0" borderId="24" xfId="0" applyFont="1" applyBorder="1" applyAlignment="1">
      <alignment horizontal="center" vertical="center" wrapText="1"/>
    </xf>
    <xf numFmtId="4" fontId="6" fillId="0" borderId="12" xfId="0" applyNumberFormat="1" applyFont="1" applyBorder="1" applyAlignment="1">
      <alignment horizontal="center" vertical="center" wrapText="1"/>
    </xf>
    <xf numFmtId="4" fontId="6" fillId="0" borderId="11" xfId="0" applyNumberFormat="1" applyFont="1" applyBorder="1" applyAlignment="1">
      <alignment horizontal="center" vertical="center" wrapText="1"/>
    </xf>
    <xf numFmtId="166" fontId="0" fillId="0" borderId="12" xfId="0" applyNumberFormat="1" applyBorder="1" applyAlignment="1">
      <alignment horizontal="center" vertical="center" wrapText="1"/>
    </xf>
    <xf numFmtId="166" fontId="0" fillId="0" borderId="11" xfId="0" applyNumberFormat="1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4" fontId="6" fillId="0" borderId="12" xfId="40" applyNumberFormat="1" applyFont="1" applyBorder="1" applyAlignment="1">
      <alignment horizontal="center" vertical="center"/>
    </xf>
    <xf numFmtId="4" fontId="6" fillId="0" borderId="13" xfId="40" applyNumberFormat="1" applyFont="1" applyBorder="1" applyAlignment="1">
      <alignment horizontal="center" vertical="center"/>
    </xf>
    <xf numFmtId="4" fontId="6" fillId="0" borderId="11" xfId="40" applyNumberFormat="1" applyFont="1" applyBorder="1" applyAlignment="1">
      <alignment horizontal="center" vertical="center"/>
    </xf>
    <xf numFmtId="166" fontId="0" fillId="0" borderId="25" xfId="0" applyNumberFormat="1" applyBorder="1" applyAlignment="1">
      <alignment horizontal="center" vertical="center"/>
    </xf>
    <xf numFmtId="166" fontId="0" fillId="0" borderId="36" xfId="0" applyNumberFormat="1" applyBorder="1" applyAlignment="1">
      <alignment horizontal="center" vertical="center"/>
    </xf>
    <xf numFmtId="166" fontId="0" fillId="0" borderId="24" xfId="0" applyNumberFormat="1" applyBorder="1" applyAlignment="1">
      <alignment horizontal="center" vertical="center"/>
    </xf>
    <xf numFmtId="0" fontId="9" fillId="0" borderId="30" xfId="0" applyFont="1" applyBorder="1" applyAlignment="1">
      <alignment horizontal="center" vertical="center" wrapText="1"/>
    </xf>
    <xf numFmtId="0" fontId="9" fillId="0" borderId="34" xfId="0" applyFont="1" applyBorder="1" applyAlignment="1">
      <alignment horizontal="center" vertical="center" wrapText="1"/>
    </xf>
    <xf numFmtId="0" fontId="9" fillId="0" borderId="30" xfId="40" applyFont="1" applyBorder="1" applyAlignment="1">
      <alignment horizontal="center" vertical="center" wrapText="1"/>
    </xf>
    <xf numFmtId="0" fontId="9" fillId="0" borderId="34" xfId="40" applyFont="1" applyBorder="1" applyAlignment="1">
      <alignment horizontal="center" vertical="center" wrapText="1"/>
    </xf>
    <xf numFmtId="4" fontId="9" fillId="0" borderId="13" xfId="0" applyNumberFormat="1" applyFont="1" applyBorder="1" applyAlignment="1">
      <alignment horizontal="center" vertical="center"/>
    </xf>
    <xf numFmtId="4" fontId="9" fillId="0" borderId="11" xfId="0" applyNumberFormat="1" applyFont="1" applyBorder="1" applyAlignment="1">
      <alignment horizontal="center" vertical="center"/>
    </xf>
    <xf numFmtId="4" fontId="6" fillId="0" borderId="13" xfId="0" applyNumberFormat="1" applyFont="1" applyBorder="1" applyAlignment="1">
      <alignment horizontal="center" vertical="center"/>
    </xf>
    <xf numFmtId="4" fontId="6" fillId="0" borderId="11" xfId="0" applyNumberFormat="1" applyFont="1" applyBorder="1" applyAlignment="1">
      <alignment horizontal="center" vertical="center"/>
    </xf>
    <xf numFmtId="4" fontId="6" fillId="0" borderId="12" xfId="0" applyNumberFormat="1" applyFont="1" applyBorder="1" applyAlignment="1">
      <alignment horizontal="center" vertical="center"/>
    </xf>
    <xf numFmtId="166" fontId="0" fillId="0" borderId="12" xfId="0" applyNumberFormat="1" applyBorder="1" applyAlignment="1">
      <alignment horizontal="center" vertical="center"/>
    </xf>
    <xf numFmtId="166" fontId="0" fillId="0" borderId="13" xfId="0" applyNumberFormat="1" applyBorder="1" applyAlignment="1">
      <alignment horizontal="center" vertical="center"/>
    </xf>
    <xf numFmtId="166" fontId="0" fillId="0" borderId="11" xfId="0" applyNumberFormat="1" applyBorder="1" applyAlignment="1">
      <alignment horizontal="center" vertical="center"/>
    </xf>
    <xf numFmtId="4" fontId="9" fillId="0" borderId="12" xfId="0" applyNumberFormat="1" applyFont="1" applyBorder="1" applyAlignment="1">
      <alignment horizontal="center" vertical="center" wrapText="1"/>
    </xf>
    <xf numFmtId="4" fontId="9" fillId="0" borderId="13" xfId="0" applyNumberFormat="1" applyFont="1" applyBorder="1" applyAlignment="1">
      <alignment horizontal="center" vertical="center" wrapText="1"/>
    </xf>
    <xf numFmtId="4" fontId="9" fillId="0" borderId="11" xfId="0" applyNumberFormat="1" applyFont="1" applyBorder="1" applyAlignment="1">
      <alignment horizontal="center" vertical="center" wrapText="1"/>
    </xf>
    <xf numFmtId="166" fontId="1" fillId="0" borderId="12" xfId="40" applyNumberFormat="1" applyFont="1" applyBorder="1" applyAlignment="1">
      <alignment horizontal="center" vertical="center"/>
    </xf>
    <xf numFmtId="166" fontId="1" fillId="0" borderId="13" xfId="40" applyNumberFormat="1" applyFont="1" applyBorder="1" applyAlignment="1">
      <alignment horizontal="center" vertical="center"/>
    </xf>
    <xf numFmtId="166" fontId="1" fillId="0" borderId="13" xfId="40" applyNumberFormat="1" applyBorder="1" applyAlignment="1">
      <alignment horizontal="center" vertical="center"/>
    </xf>
    <xf numFmtId="166" fontId="1" fillId="0" borderId="11" xfId="40" applyNumberFormat="1" applyBorder="1" applyAlignment="1">
      <alignment horizontal="center" vertical="center"/>
    </xf>
    <xf numFmtId="166" fontId="1" fillId="0" borderId="12" xfId="40" applyNumberFormat="1" applyBorder="1" applyAlignment="1">
      <alignment horizontal="center" vertical="center"/>
    </xf>
    <xf numFmtId="3" fontId="6" fillId="0" borderId="12" xfId="0" applyNumberFormat="1" applyFont="1" applyBorder="1" applyAlignment="1">
      <alignment horizontal="center" vertical="center"/>
    </xf>
    <xf numFmtId="3" fontId="6" fillId="0" borderId="13" xfId="0" applyNumberFormat="1" applyFont="1" applyBorder="1" applyAlignment="1">
      <alignment horizontal="center" vertical="center"/>
    </xf>
    <xf numFmtId="3" fontId="6" fillId="0" borderId="11" xfId="0" applyNumberFormat="1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 wrapText="1"/>
    </xf>
    <xf numFmtId="0" fontId="9" fillId="0" borderId="51" xfId="0" applyFont="1" applyBorder="1" applyAlignment="1">
      <alignment horizontal="center" vertical="center" wrapText="1"/>
    </xf>
    <xf numFmtId="0" fontId="9" fillId="0" borderId="29" xfId="0" applyFont="1" applyBorder="1" applyAlignment="1">
      <alignment horizontal="center" vertical="center" wrapText="1"/>
    </xf>
    <xf numFmtId="4" fontId="9" fillId="0" borderId="12" xfId="0" applyNumberFormat="1" applyFont="1" applyFill="1" applyBorder="1" applyAlignment="1">
      <alignment horizontal="center" vertical="center"/>
    </xf>
    <xf numFmtId="4" fontId="9" fillId="0" borderId="13" xfId="0" applyNumberFormat="1" applyFont="1" applyFill="1" applyBorder="1" applyAlignment="1">
      <alignment horizontal="center" vertical="center"/>
    </xf>
    <xf numFmtId="4" fontId="9" fillId="0" borderId="11" xfId="0" applyNumberFormat="1" applyFont="1" applyFill="1" applyBorder="1" applyAlignment="1">
      <alignment horizontal="center" vertical="center"/>
    </xf>
    <xf numFmtId="4" fontId="9" fillId="0" borderId="12" xfId="0" applyNumberFormat="1" applyFont="1" applyBorder="1" applyAlignment="1">
      <alignment horizontal="center" vertical="center"/>
    </xf>
    <xf numFmtId="4" fontId="6" fillId="0" borderId="23" xfId="0" applyNumberFormat="1" applyFont="1" applyBorder="1" applyAlignment="1">
      <alignment horizontal="center" vertical="center"/>
    </xf>
    <xf numFmtId="4" fontId="6" fillId="0" borderId="17" xfId="0" applyNumberFormat="1" applyFont="1" applyBorder="1" applyAlignment="1">
      <alignment horizontal="center" vertical="center"/>
    </xf>
    <xf numFmtId="4" fontId="6" fillId="0" borderId="40" xfId="0" applyNumberFormat="1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 wrapText="1"/>
    </xf>
    <xf numFmtId="0" fontId="9" fillId="0" borderId="36" xfId="0" applyFont="1" applyBorder="1" applyAlignment="1">
      <alignment horizontal="center" vertical="center" wrapText="1"/>
    </xf>
    <xf numFmtId="0" fontId="9" fillId="0" borderId="30" xfId="0" applyFont="1" applyFill="1" applyBorder="1" applyAlignment="1">
      <alignment horizontal="center" vertical="center" wrapText="1"/>
    </xf>
    <xf numFmtId="0" fontId="9" fillId="0" borderId="34" xfId="0" applyFont="1" applyFill="1" applyBorder="1" applyAlignment="1">
      <alignment horizontal="center" vertical="center" wrapText="1"/>
    </xf>
    <xf numFmtId="0" fontId="9" fillId="0" borderId="29" xfId="0" applyFont="1" applyFill="1" applyBorder="1" applyAlignment="1">
      <alignment horizontal="center" vertical="center" wrapText="1"/>
    </xf>
    <xf numFmtId="0" fontId="6" fillId="0" borderId="13" xfId="0" applyFont="1" applyBorder="1"/>
    <xf numFmtId="0" fontId="9" fillId="0" borderId="10" xfId="0" applyFont="1" applyBorder="1" applyAlignment="1">
      <alignment horizontal="center" vertical="center" wrapText="1"/>
    </xf>
    <xf numFmtId="3" fontId="6" fillId="0" borderId="12" xfId="40" applyNumberFormat="1" applyFont="1" applyBorder="1" applyAlignment="1">
      <alignment horizontal="center" vertical="center"/>
    </xf>
    <xf numFmtId="3" fontId="6" fillId="0" borderId="13" xfId="40" applyNumberFormat="1" applyFont="1" applyBorder="1" applyAlignment="1">
      <alignment horizontal="center" vertical="center"/>
    </xf>
    <xf numFmtId="3" fontId="6" fillId="0" borderId="11" xfId="40" applyNumberFormat="1" applyFont="1" applyBorder="1" applyAlignment="1">
      <alignment horizontal="center" vertical="center"/>
    </xf>
    <xf numFmtId="0" fontId="9" fillId="0" borderId="29" xfId="40" applyFont="1" applyBorder="1" applyAlignment="1">
      <alignment horizontal="center" vertical="center" wrapText="1"/>
    </xf>
    <xf numFmtId="0" fontId="9" fillId="0" borderId="30" xfId="40" applyFont="1" applyFill="1" applyBorder="1" applyAlignment="1">
      <alignment horizontal="center" vertical="center" wrapText="1"/>
    </xf>
    <xf numFmtId="0" fontId="9" fillId="0" borderId="34" xfId="40" applyFont="1" applyFill="1" applyBorder="1" applyAlignment="1">
      <alignment horizontal="center" vertical="center" wrapText="1"/>
    </xf>
    <xf numFmtId="166" fontId="1" fillId="0" borderId="25" xfId="40" applyNumberFormat="1" applyFont="1" applyBorder="1" applyAlignment="1">
      <alignment horizontal="center" vertical="center"/>
    </xf>
    <xf numFmtId="166" fontId="1" fillId="0" borderId="24" xfId="40" applyNumberFormat="1" applyBorder="1" applyAlignment="1">
      <alignment horizontal="center" vertical="center"/>
    </xf>
    <xf numFmtId="0" fontId="9" fillId="0" borderId="29" xfId="40" applyFont="1" applyFill="1" applyBorder="1" applyAlignment="1">
      <alignment horizontal="center" vertical="center" wrapText="1"/>
    </xf>
    <xf numFmtId="166" fontId="1" fillId="0" borderId="36" xfId="40" applyNumberFormat="1" applyFont="1" applyBorder="1" applyAlignment="1">
      <alignment horizontal="center" vertical="center"/>
    </xf>
    <xf numFmtId="166" fontId="1" fillId="0" borderId="36" xfId="40" applyNumberFormat="1" applyBorder="1" applyAlignment="1">
      <alignment horizontal="center" vertical="center"/>
    </xf>
    <xf numFmtId="0" fontId="9" fillId="0" borderId="25" xfId="0" applyFont="1" applyFill="1" applyBorder="1" applyAlignment="1">
      <alignment horizontal="center" vertical="center" wrapText="1"/>
    </xf>
    <xf numFmtId="0" fontId="9" fillId="0" borderId="36" xfId="0" applyFont="1" applyFill="1" applyBorder="1" applyAlignment="1">
      <alignment horizontal="center" vertical="center" wrapText="1"/>
    </xf>
    <xf numFmtId="0" fontId="9" fillId="0" borderId="24" xfId="0" applyFont="1" applyFill="1" applyBorder="1" applyAlignment="1">
      <alignment horizontal="center" vertical="center" wrapText="1"/>
    </xf>
    <xf numFmtId="0" fontId="6" fillId="0" borderId="52" xfId="0" applyFont="1" applyFill="1" applyBorder="1" applyAlignment="1">
      <alignment horizontal="center" vertical="center" wrapText="1"/>
    </xf>
    <xf numFmtId="0" fontId="6" fillId="0" borderId="53" xfId="0" applyFont="1" applyFill="1" applyBorder="1" applyAlignment="1">
      <alignment horizontal="center" vertical="center" wrapText="1"/>
    </xf>
    <xf numFmtId="0" fontId="6" fillId="0" borderId="54" xfId="0" applyFont="1" applyFill="1" applyBorder="1" applyAlignment="1">
      <alignment horizontal="center" vertical="center" wrapText="1"/>
    </xf>
    <xf numFmtId="0" fontId="34" fillId="0" borderId="55" xfId="0" applyFont="1" applyBorder="1" applyAlignment="1">
      <alignment horizontal="center" wrapText="1"/>
    </xf>
    <xf numFmtId="0" fontId="34" fillId="0" borderId="47" xfId="0" applyFont="1" applyBorder="1" applyAlignment="1">
      <alignment horizontal="center" wrapText="1"/>
    </xf>
    <xf numFmtId="0" fontId="34" fillId="0" borderId="48" xfId="0" applyFont="1" applyBorder="1" applyAlignment="1">
      <alignment horizontal="center" wrapText="1"/>
    </xf>
    <xf numFmtId="0" fontId="7" fillId="0" borderId="56" xfId="0" applyFont="1" applyFill="1" applyBorder="1" applyAlignment="1">
      <alignment horizontal="center" vertical="center" wrapText="1"/>
    </xf>
    <xf numFmtId="0" fontId="7" fillId="0" borderId="57" xfId="0" applyFont="1" applyFill="1" applyBorder="1" applyAlignment="1">
      <alignment horizontal="center" vertical="center" wrapText="1"/>
    </xf>
    <xf numFmtId="0" fontId="7" fillId="0" borderId="36" xfId="0" applyFont="1" applyFill="1" applyBorder="1" applyAlignment="1">
      <alignment horizontal="center" vertical="center" wrapText="1"/>
    </xf>
    <xf numFmtId="0" fontId="7" fillId="0" borderId="17" xfId="0" applyFont="1" applyFill="1" applyBorder="1" applyAlignment="1">
      <alignment horizontal="center" vertical="center" wrapText="1"/>
    </xf>
    <xf numFmtId="0" fontId="7" fillId="0" borderId="39" xfId="0" applyFont="1" applyFill="1" applyBorder="1" applyAlignment="1">
      <alignment horizontal="center" vertical="center" wrapText="1"/>
    </xf>
    <xf numFmtId="0" fontId="7" fillId="0" borderId="58" xfId="0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2" fontId="6" fillId="0" borderId="45" xfId="0" applyNumberFormat="1" applyFont="1" applyFill="1" applyBorder="1" applyAlignment="1">
      <alignment horizontal="center" vertical="center" wrapText="1"/>
    </xf>
    <xf numFmtId="2" fontId="6" fillId="0" borderId="13" xfId="0" applyNumberFormat="1" applyFont="1" applyFill="1" applyBorder="1" applyAlignment="1">
      <alignment horizontal="center" vertical="center" wrapText="1"/>
    </xf>
    <xf numFmtId="2" fontId="6" fillId="0" borderId="16" xfId="0" applyNumberFormat="1" applyFont="1" applyFill="1" applyBorder="1" applyAlignment="1">
      <alignment horizontal="center" vertical="center" wrapText="1"/>
    </xf>
    <xf numFmtId="4" fontId="7" fillId="0" borderId="45" xfId="0" applyNumberFormat="1" applyFont="1" applyFill="1" applyBorder="1" applyAlignment="1">
      <alignment horizontal="center" vertical="center" wrapText="1"/>
    </xf>
    <xf numFmtId="4" fontId="7" fillId="0" borderId="13" xfId="0" applyNumberFormat="1" applyFont="1" applyFill="1" applyBorder="1" applyAlignment="1">
      <alignment horizontal="center" vertical="center" wrapText="1"/>
    </xf>
    <xf numFmtId="4" fontId="7" fillId="0" borderId="16" xfId="0" applyNumberFormat="1" applyFont="1" applyFill="1" applyBorder="1" applyAlignment="1">
      <alignment horizontal="center" vertical="center" wrapText="1"/>
    </xf>
    <xf numFmtId="0" fontId="0" fillId="0" borderId="13" xfId="0" applyBorder="1"/>
    <xf numFmtId="0" fontId="0" fillId="0" borderId="16" xfId="0" applyBorder="1"/>
    <xf numFmtId="0" fontId="6" fillId="0" borderId="16" xfId="0" applyFont="1" applyBorder="1" applyAlignment="1">
      <alignment horizontal="center" vertical="center"/>
    </xf>
    <xf numFmtId="166" fontId="7" fillId="0" borderId="21" xfId="0" applyNumberFormat="1" applyFont="1" applyFill="1" applyBorder="1" applyAlignment="1">
      <alignment horizontal="center" vertical="center" wrapText="1"/>
    </xf>
    <xf numFmtId="166" fontId="0" fillId="0" borderId="46" xfId="0" applyNumberFormat="1" applyBorder="1"/>
    <xf numFmtId="166" fontId="0" fillId="0" borderId="20" xfId="0" applyNumberFormat="1" applyBorder="1"/>
    <xf numFmtId="0" fontId="0" fillId="0" borderId="13" xfId="0" applyBorder="1" applyAlignment="1">
      <alignment horizontal="center" vertical="center" wrapText="1"/>
    </xf>
    <xf numFmtId="4" fontId="9" fillId="0" borderId="12" xfId="0" applyNumberFormat="1" applyFont="1" applyFill="1" applyBorder="1" applyAlignment="1">
      <alignment horizontal="center" vertical="center" wrapText="1"/>
    </xf>
    <xf numFmtId="4" fontId="9" fillId="0" borderId="11" xfId="0" applyNumberFormat="1" applyFont="1" applyFill="1" applyBorder="1" applyAlignment="1">
      <alignment horizontal="center" vertical="center" wrapText="1"/>
    </xf>
    <xf numFmtId="0" fontId="9" fillId="0" borderId="12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0" borderId="12" xfId="0" applyFont="1" applyBorder="1" applyAlignment="1">
      <alignment horizontal="center" wrapText="1"/>
    </xf>
    <xf numFmtId="0" fontId="9" fillId="0" borderId="11" xfId="0" applyFont="1" applyBorder="1" applyAlignment="1">
      <alignment horizontal="center" wrapText="1"/>
    </xf>
    <xf numFmtId="0" fontId="6" fillId="0" borderId="12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12" xfId="40" applyFont="1" applyBorder="1" applyAlignment="1">
      <alignment horizontal="center" vertical="center"/>
    </xf>
    <xf numFmtId="0" fontId="6" fillId="0" borderId="13" xfId="40" applyFont="1" applyBorder="1" applyAlignment="1">
      <alignment horizontal="center" vertical="center"/>
    </xf>
    <xf numFmtId="0" fontId="6" fillId="0" borderId="11" xfId="40" applyFont="1" applyBorder="1" applyAlignment="1">
      <alignment horizontal="center" vertical="center"/>
    </xf>
    <xf numFmtId="0" fontId="9" fillId="0" borderId="31" xfId="40" applyFont="1" applyBorder="1" applyAlignment="1">
      <alignment horizontal="center" vertical="center" wrapText="1"/>
    </xf>
    <xf numFmtId="0" fontId="9" fillId="0" borderId="51" xfId="40" applyFont="1" applyBorder="1" applyAlignment="1">
      <alignment horizontal="center" vertical="center" wrapText="1"/>
    </xf>
    <xf numFmtId="0" fontId="9" fillId="0" borderId="32" xfId="0" applyFont="1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40" xfId="0" applyBorder="1" applyAlignment="1">
      <alignment horizontal="center" vertical="center" wrapText="1"/>
    </xf>
    <xf numFmtId="0" fontId="9" fillId="0" borderId="32" xfId="0" applyFont="1" applyBorder="1" applyAlignment="1">
      <alignment horizontal="center" vertical="center"/>
    </xf>
    <xf numFmtId="0" fontId="6" fillId="0" borderId="49" xfId="0" applyFont="1" applyFill="1" applyBorder="1" applyAlignment="1">
      <alignment horizontal="center" vertical="center"/>
    </xf>
    <xf numFmtId="0" fontId="6" fillId="0" borderId="34" xfId="0" applyFont="1" applyFill="1" applyBorder="1" applyAlignment="1">
      <alignment horizontal="center" vertical="center"/>
    </xf>
    <xf numFmtId="0" fontId="6" fillId="0" borderId="50" xfId="0" applyFont="1" applyFill="1" applyBorder="1" applyAlignment="1">
      <alignment horizontal="center" vertical="center"/>
    </xf>
    <xf numFmtId="49" fontId="6" fillId="0" borderId="45" xfId="0" applyNumberFormat="1" applyFont="1" applyFill="1" applyBorder="1" applyAlignment="1">
      <alignment horizontal="center" wrapText="1"/>
    </xf>
    <xf numFmtId="49" fontId="6" fillId="0" borderId="13" xfId="0" applyNumberFormat="1" applyFont="1" applyFill="1" applyBorder="1" applyAlignment="1">
      <alignment horizontal="center" wrapText="1"/>
    </xf>
    <xf numFmtId="49" fontId="6" fillId="0" borderId="16" xfId="0" applyNumberFormat="1" applyFont="1" applyFill="1" applyBorder="1" applyAlignment="1">
      <alignment horizontal="center" wrapText="1"/>
    </xf>
    <xf numFmtId="166" fontId="1" fillId="0" borderId="25" xfId="40" applyNumberFormat="1" applyBorder="1" applyAlignment="1">
      <alignment horizontal="center" vertical="center"/>
    </xf>
    <xf numFmtId="4" fontId="6" fillId="0" borderId="12" xfId="0" applyNumberFormat="1" applyFont="1" applyFill="1" applyBorder="1" applyAlignment="1">
      <alignment horizontal="center" vertical="center"/>
    </xf>
    <xf numFmtId="4" fontId="6" fillId="0" borderId="13" xfId="0" applyNumberFormat="1" applyFont="1" applyFill="1" applyBorder="1" applyAlignment="1">
      <alignment horizontal="center" vertical="center"/>
    </xf>
    <xf numFmtId="4" fontId="6" fillId="0" borderId="11" xfId="0" applyNumberFormat="1" applyFont="1" applyFill="1" applyBorder="1" applyAlignment="1">
      <alignment horizontal="center" vertical="center"/>
    </xf>
    <xf numFmtId="0" fontId="9" fillId="0" borderId="30" xfId="0" applyFont="1" applyBorder="1" applyAlignment="1">
      <alignment horizontal="center" vertical="justify" wrapText="1"/>
    </xf>
    <xf numFmtId="0" fontId="9" fillId="0" borderId="34" xfId="0" applyFont="1" applyBorder="1" applyAlignment="1">
      <alignment horizontal="center" vertical="justify" wrapText="1"/>
    </xf>
    <xf numFmtId="0" fontId="9" fillId="0" borderId="13" xfId="0" applyFont="1" applyBorder="1" applyAlignment="1">
      <alignment horizontal="center" wrapText="1"/>
    </xf>
    <xf numFmtId="0" fontId="9" fillId="32" borderId="30" xfId="40" applyFont="1" applyFill="1" applyBorder="1" applyAlignment="1">
      <alignment horizontal="center" vertical="center" wrapText="1"/>
    </xf>
    <xf numFmtId="0" fontId="9" fillId="32" borderId="34" xfId="40" applyFont="1" applyFill="1" applyBorder="1" applyAlignment="1">
      <alignment horizontal="center" vertical="center" wrapText="1"/>
    </xf>
    <xf numFmtId="0" fontId="9" fillId="32" borderId="29" xfId="40" applyFont="1" applyFill="1" applyBorder="1" applyAlignment="1">
      <alignment horizontal="center" vertical="center" wrapText="1"/>
    </xf>
    <xf numFmtId="0" fontId="9" fillId="0" borderId="12" xfId="0" applyFont="1" applyFill="1" applyBorder="1" applyAlignment="1">
      <alignment horizontal="center" wrapText="1"/>
    </xf>
    <xf numFmtId="0" fontId="9" fillId="0" borderId="13" xfId="0" applyFont="1" applyFill="1" applyBorder="1" applyAlignment="1">
      <alignment horizontal="center" wrapText="1"/>
    </xf>
    <xf numFmtId="0" fontId="9" fillId="0" borderId="11" xfId="0" applyFont="1" applyFill="1" applyBorder="1" applyAlignment="1">
      <alignment horizontal="center" wrapText="1"/>
    </xf>
    <xf numFmtId="0" fontId="9" fillId="32" borderId="12" xfId="0" applyFont="1" applyFill="1" applyBorder="1" applyAlignment="1">
      <alignment horizontal="center" wrapText="1"/>
    </xf>
    <xf numFmtId="0" fontId="9" fillId="32" borderId="13" xfId="0" applyFont="1" applyFill="1" applyBorder="1" applyAlignment="1">
      <alignment horizontal="center" wrapText="1"/>
    </xf>
    <xf numFmtId="0" fontId="9" fillId="0" borderId="13" xfId="0" applyFont="1" applyBorder="1" applyAlignment="1">
      <alignment wrapText="1"/>
    </xf>
    <xf numFmtId="0" fontId="9" fillId="0" borderId="11" xfId="0" applyFont="1" applyBorder="1" applyAlignment="1">
      <alignment wrapText="1"/>
    </xf>
    <xf numFmtId="0" fontId="9" fillId="32" borderId="11" xfId="0" applyFont="1" applyFill="1" applyBorder="1" applyAlignment="1">
      <alignment horizontal="center" wrapText="1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1" fontId="6" fillId="0" borderId="11" xfId="0" applyNumberFormat="1" applyFont="1" applyBorder="1" applyAlignment="1">
      <alignment horizontal="center" vertical="center"/>
    </xf>
    <xf numFmtId="166" fontId="0" fillId="0" borderId="25" xfId="0" applyNumberFormat="1" applyBorder="1" applyAlignment="1">
      <alignment horizontal="center" vertical="center" wrapText="1"/>
    </xf>
    <xf numFmtId="166" fontId="0" fillId="0" borderId="24" xfId="0" applyNumberFormat="1" applyBorder="1" applyAlignment="1">
      <alignment horizontal="center" vertical="center" wrapText="1"/>
    </xf>
    <xf numFmtId="4" fontId="6" fillId="0" borderId="13" xfId="0" applyNumberFormat="1" applyFont="1" applyBorder="1" applyAlignment="1">
      <alignment horizontal="center" vertical="center" wrapText="1"/>
    </xf>
    <xf numFmtId="166" fontId="0" fillId="0" borderId="13" xfId="0" applyNumberFormat="1" applyBorder="1" applyAlignment="1">
      <alignment horizontal="center" vertical="center" wrapText="1"/>
    </xf>
    <xf numFmtId="166" fontId="0" fillId="0" borderId="36" xfId="0" applyNumberFormat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9" fillId="0" borderId="59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  <xf numFmtId="0" fontId="9" fillId="0" borderId="27" xfId="0" applyFont="1" applyBorder="1" applyAlignment="1">
      <alignment horizontal="center" vertical="center" wrapText="1"/>
    </xf>
    <xf numFmtId="0" fontId="6" fillId="0" borderId="12" xfId="0" applyFont="1" applyFill="1" applyBorder="1" applyAlignment="1">
      <alignment horizontal="center" vertical="center"/>
    </xf>
    <xf numFmtId="0" fontId="6" fillId="0" borderId="13" xfId="0" applyFont="1" applyFill="1" applyBorder="1" applyAlignment="1">
      <alignment horizontal="center" vertical="center"/>
    </xf>
    <xf numFmtId="0" fontId="9" fillId="0" borderId="25" xfId="40" applyFont="1" applyBorder="1" applyAlignment="1">
      <alignment horizontal="center" vertical="center" wrapText="1"/>
    </xf>
    <xf numFmtId="0" fontId="9" fillId="0" borderId="24" xfId="40" applyFont="1" applyBorder="1" applyAlignment="1">
      <alignment horizontal="center" vertical="center" wrapText="1"/>
    </xf>
    <xf numFmtId="0" fontId="6" fillId="0" borderId="11" xfId="0" applyFont="1" applyFill="1" applyBorder="1" applyAlignment="1">
      <alignment horizontal="center" vertical="center"/>
    </xf>
    <xf numFmtId="0" fontId="6" fillId="32" borderId="12" xfId="0" applyFont="1" applyFill="1" applyBorder="1" applyAlignment="1">
      <alignment horizontal="center" vertical="center"/>
    </xf>
    <xf numFmtId="0" fontId="6" fillId="32" borderId="13" xfId="0" applyFont="1" applyFill="1" applyBorder="1" applyAlignment="1">
      <alignment horizontal="center" vertical="center"/>
    </xf>
    <xf numFmtId="0" fontId="6" fillId="0" borderId="11" xfId="0" applyFont="1" applyFill="1" applyBorder="1"/>
    <xf numFmtId="1" fontId="6" fillId="0" borderId="12" xfId="0" applyNumberFormat="1" applyFont="1" applyFill="1" applyBorder="1" applyAlignment="1">
      <alignment horizontal="center" vertical="center"/>
    </xf>
    <xf numFmtId="1" fontId="6" fillId="0" borderId="13" xfId="0" applyNumberFormat="1" applyFont="1" applyFill="1" applyBorder="1" applyAlignment="1">
      <alignment horizontal="center" vertical="center"/>
    </xf>
    <xf numFmtId="1" fontId="6" fillId="0" borderId="11" xfId="0" applyNumberFormat="1" applyFont="1" applyFill="1" applyBorder="1" applyAlignment="1">
      <alignment horizontal="center" vertical="center"/>
    </xf>
    <xf numFmtId="0" fontId="6" fillId="0" borderId="41" xfId="0" applyFont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4" fontId="9" fillId="30" borderId="12" xfId="0" applyNumberFormat="1" applyFont="1" applyFill="1" applyBorder="1" applyAlignment="1">
      <alignment horizontal="center" vertical="center"/>
    </xf>
    <xf numFmtId="4" fontId="9" fillId="30" borderId="13" xfId="0" applyNumberFormat="1" applyFont="1" applyFill="1" applyBorder="1" applyAlignment="1">
      <alignment horizontal="center" vertical="center"/>
    </xf>
    <xf numFmtId="4" fontId="9" fillId="30" borderId="11" xfId="0" applyNumberFormat="1" applyFont="1" applyFill="1" applyBorder="1" applyAlignment="1">
      <alignment horizontal="center" vertical="center"/>
    </xf>
    <xf numFmtId="0" fontId="6" fillId="32" borderId="11" xfId="0" applyFont="1" applyFill="1" applyBorder="1" applyAlignment="1">
      <alignment horizontal="center" vertical="center"/>
    </xf>
    <xf numFmtId="0" fontId="9" fillId="32" borderId="12" xfId="0" applyFont="1" applyFill="1" applyBorder="1" applyAlignment="1">
      <alignment horizontal="center" vertical="center"/>
    </xf>
    <xf numFmtId="0" fontId="9" fillId="32" borderId="13" xfId="0" applyFont="1" applyFill="1" applyBorder="1" applyAlignment="1">
      <alignment horizontal="center" vertical="center"/>
    </xf>
    <xf numFmtId="0" fontId="9" fillId="32" borderId="11" xfId="0" applyFont="1" applyFill="1" applyBorder="1" applyAlignment="1">
      <alignment horizontal="center" vertical="center"/>
    </xf>
    <xf numFmtId="4" fontId="9" fillId="32" borderId="12" xfId="0" applyNumberFormat="1" applyFont="1" applyFill="1" applyBorder="1" applyAlignment="1">
      <alignment horizontal="center" vertical="center" wrapText="1"/>
    </xf>
    <xf numFmtId="4" fontId="9" fillId="32" borderId="13" xfId="0" applyNumberFormat="1" applyFont="1" applyFill="1" applyBorder="1" applyAlignment="1">
      <alignment horizontal="center" vertical="center" wrapText="1"/>
    </xf>
    <xf numFmtId="4" fontId="9" fillId="32" borderId="11" xfId="0" applyNumberFormat="1" applyFont="1" applyFill="1" applyBorder="1" applyAlignment="1">
      <alignment horizontal="center" vertical="center" wrapText="1"/>
    </xf>
    <xf numFmtId="166" fontId="0" fillId="32" borderId="12" xfId="0" applyNumberFormat="1" applyFill="1" applyBorder="1" applyAlignment="1">
      <alignment horizontal="center" vertical="center"/>
    </xf>
    <xf numFmtId="166" fontId="0" fillId="32" borderId="13" xfId="0" applyNumberFormat="1" applyFill="1" applyBorder="1" applyAlignment="1">
      <alignment horizontal="center" vertical="center"/>
    </xf>
    <xf numFmtId="166" fontId="0" fillId="32" borderId="11" xfId="0" applyNumberFormat="1" applyFill="1" applyBorder="1" applyAlignment="1">
      <alignment horizontal="center" vertical="center"/>
    </xf>
    <xf numFmtId="0" fontId="9" fillId="32" borderId="30" xfId="0" applyFont="1" applyFill="1" applyBorder="1" applyAlignment="1">
      <alignment horizontal="center" vertical="center" wrapText="1"/>
    </xf>
    <xf numFmtId="0" fontId="9" fillId="32" borderId="34" xfId="0" applyFont="1" applyFill="1" applyBorder="1" applyAlignment="1">
      <alignment horizontal="center" vertical="center" wrapText="1"/>
    </xf>
    <xf numFmtId="0" fontId="9" fillId="32" borderId="29" xfId="0" applyFont="1" applyFill="1" applyBorder="1" applyAlignment="1">
      <alignment horizontal="center" vertical="center" wrapText="1"/>
    </xf>
    <xf numFmtId="0" fontId="0" fillId="32" borderId="12" xfId="0" applyFill="1" applyBorder="1" applyAlignment="1">
      <alignment horizontal="center" vertical="center"/>
    </xf>
    <xf numFmtId="0" fontId="0" fillId="32" borderId="13" xfId="0" applyFill="1" applyBorder="1" applyAlignment="1">
      <alignment horizontal="center" vertical="center"/>
    </xf>
    <xf numFmtId="0" fontId="0" fillId="32" borderId="11" xfId="0" applyFill="1" applyBorder="1" applyAlignment="1">
      <alignment horizontal="center" vertical="center"/>
    </xf>
    <xf numFmtId="0" fontId="9" fillId="32" borderId="31" xfId="0" applyFont="1" applyFill="1" applyBorder="1" applyAlignment="1">
      <alignment horizontal="center" vertical="center" wrapText="1"/>
    </xf>
    <xf numFmtId="0" fontId="9" fillId="32" borderId="51" xfId="0" applyFont="1" applyFill="1" applyBorder="1" applyAlignment="1">
      <alignment horizontal="center" vertical="center" wrapText="1"/>
    </xf>
    <xf numFmtId="4" fontId="6" fillId="32" borderId="12" xfId="0" applyNumberFormat="1" applyFont="1" applyFill="1" applyBorder="1" applyAlignment="1">
      <alignment horizontal="center" vertical="center"/>
    </xf>
    <xf numFmtId="4" fontId="6" fillId="32" borderId="13" xfId="0" applyNumberFormat="1" applyFont="1" applyFill="1" applyBorder="1" applyAlignment="1">
      <alignment horizontal="center" vertical="center"/>
    </xf>
    <xf numFmtId="4" fontId="9" fillId="0" borderId="13" xfId="0" applyNumberFormat="1" applyFont="1" applyFill="1" applyBorder="1" applyAlignment="1">
      <alignment horizontal="center" vertical="center" wrapText="1"/>
    </xf>
    <xf numFmtId="0" fontId="9" fillId="32" borderId="12" xfId="0" applyFont="1" applyFill="1" applyBorder="1" applyAlignment="1">
      <alignment horizontal="center" vertical="center" wrapText="1"/>
    </xf>
    <xf numFmtId="0" fontId="9" fillId="32" borderId="13" xfId="0" applyFont="1" applyFill="1" applyBorder="1" applyAlignment="1">
      <alignment horizontal="center" vertical="center" wrapText="1"/>
    </xf>
    <xf numFmtId="4" fontId="6" fillId="32" borderId="11" xfId="0" applyNumberFormat="1" applyFont="1" applyFill="1" applyBorder="1" applyAlignment="1">
      <alignment horizontal="center" vertical="center"/>
    </xf>
    <xf numFmtId="0" fontId="6" fillId="30" borderId="12" xfId="0" applyFont="1" applyFill="1" applyBorder="1" applyAlignment="1">
      <alignment horizontal="center" vertical="center"/>
    </xf>
    <xf numFmtId="0" fontId="6" fillId="30" borderId="13" xfId="0" applyFont="1" applyFill="1" applyBorder="1" applyAlignment="1">
      <alignment horizontal="center" vertical="center"/>
    </xf>
    <xf numFmtId="4" fontId="6" fillId="30" borderId="12" xfId="0" applyNumberFormat="1" applyFont="1" applyFill="1" applyBorder="1" applyAlignment="1">
      <alignment horizontal="center" vertical="center"/>
    </xf>
    <xf numFmtId="4" fontId="6" fillId="30" borderId="13" xfId="0" applyNumberFormat="1" applyFont="1" applyFill="1" applyBorder="1" applyAlignment="1">
      <alignment horizontal="center" vertical="center"/>
    </xf>
    <xf numFmtId="4" fontId="6" fillId="30" borderId="11" xfId="0" applyNumberFormat="1" applyFont="1" applyFill="1" applyBorder="1" applyAlignment="1">
      <alignment horizontal="center" vertical="center"/>
    </xf>
    <xf numFmtId="0" fontId="6" fillId="30" borderId="11" xfId="0" applyFont="1" applyFill="1" applyBorder="1" applyAlignment="1">
      <alignment horizontal="center" vertical="center"/>
    </xf>
    <xf numFmtId="0" fontId="9" fillId="32" borderId="11" xfId="0" applyFont="1" applyFill="1" applyBorder="1" applyAlignment="1">
      <alignment horizontal="center" vertical="center" wrapText="1"/>
    </xf>
    <xf numFmtId="4" fontId="9" fillId="32" borderId="12" xfId="0" applyNumberFormat="1" applyFont="1" applyFill="1" applyBorder="1" applyAlignment="1">
      <alignment horizontal="center" vertical="center"/>
    </xf>
    <xf numFmtId="4" fontId="9" fillId="32" borderId="13" xfId="0" applyNumberFormat="1" applyFont="1" applyFill="1" applyBorder="1" applyAlignment="1">
      <alignment horizontal="center" vertical="center"/>
    </xf>
    <xf numFmtId="4" fontId="9" fillId="32" borderId="11" xfId="0" applyNumberFormat="1" applyFont="1" applyFill="1" applyBorder="1" applyAlignment="1">
      <alignment horizontal="center" vertical="center"/>
    </xf>
    <xf numFmtId="166" fontId="1" fillId="30" borderId="12" xfId="40" applyNumberFormat="1" applyFill="1" applyBorder="1" applyAlignment="1">
      <alignment horizontal="center" vertical="center"/>
    </xf>
    <xf numFmtId="166" fontId="1" fillId="30" borderId="13" xfId="40" applyNumberFormat="1" applyFill="1" applyBorder="1" applyAlignment="1">
      <alignment horizontal="center" vertical="center"/>
    </xf>
    <xf numFmtId="166" fontId="1" fillId="30" borderId="11" xfId="40" applyNumberFormat="1" applyFill="1" applyBorder="1" applyAlignment="1">
      <alignment horizontal="center" vertical="center"/>
    </xf>
    <xf numFmtId="166" fontId="0" fillId="32" borderId="25" xfId="0" applyNumberFormat="1" applyFill="1" applyBorder="1" applyAlignment="1">
      <alignment horizontal="center" vertical="center"/>
    </xf>
    <xf numFmtId="166" fontId="0" fillId="32" borderId="36" xfId="0" applyNumberFormat="1" applyFill="1" applyBorder="1" applyAlignment="1">
      <alignment horizontal="center" vertical="center"/>
    </xf>
    <xf numFmtId="166" fontId="0" fillId="32" borderId="24" xfId="0" applyNumberFormat="1" applyFill="1" applyBorder="1" applyAlignment="1">
      <alignment horizontal="center" vertical="center"/>
    </xf>
    <xf numFmtId="166" fontId="0" fillId="30" borderId="12" xfId="0" applyNumberFormat="1" applyFill="1" applyBorder="1" applyAlignment="1">
      <alignment horizontal="center" vertical="center"/>
    </xf>
    <xf numFmtId="166" fontId="0" fillId="30" borderId="13" xfId="0" applyNumberFormat="1" applyFill="1" applyBorder="1" applyAlignment="1">
      <alignment horizontal="center" vertical="center"/>
    </xf>
    <xf numFmtId="0" fontId="9" fillId="30" borderId="13" xfId="0" applyFont="1" applyFill="1" applyBorder="1" applyAlignment="1">
      <alignment horizontal="center" vertical="center" wrapText="1"/>
    </xf>
    <xf numFmtId="0" fontId="0" fillId="32" borderId="13" xfId="0" applyFill="1" applyBorder="1" applyAlignment="1">
      <alignment horizontal="center" vertical="center" wrapText="1"/>
    </xf>
    <xf numFmtId="0" fontId="0" fillId="32" borderId="11" xfId="0" applyFill="1" applyBorder="1" applyAlignment="1">
      <alignment horizontal="center" vertical="center" wrapText="1"/>
    </xf>
    <xf numFmtId="0" fontId="9" fillId="30" borderId="12" xfId="0" applyFont="1" applyFill="1" applyBorder="1" applyAlignment="1">
      <alignment horizontal="center" vertical="center"/>
    </xf>
    <xf numFmtId="0" fontId="9" fillId="30" borderId="13" xfId="0" applyFont="1" applyFill="1" applyBorder="1" applyAlignment="1">
      <alignment horizontal="center" vertical="center"/>
    </xf>
    <xf numFmtId="0" fontId="0" fillId="32" borderId="12" xfId="0" applyFill="1" applyBorder="1" applyAlignment="1">
      <alignment horizontal="center" vertical="center" wrapText="1"/>
    </xf>
    <xf numFmtId="3" fontId="6" fillId="32" borderId="12" xfId="0" applyNumberFormat="1" applyFont="1" applyFill="1" applyBorder="1" applyAlignment="1">
      <alignment horizontal="center" vertical="center"/>
    </xf>
    <xf numFmtId="3" fontId="6" fillId="32" borderId="13" xfId="0" applyNumberFormat="1" applyFont="1" applyFill="1" applyBorder="1" applyAlignment="1">
      <alignment horizontal="center" vertical="center"/>
    </xf>
    <xf numFmtId="3" fontId="6" fillId="32" borderId="11" xfId="0" applyNumberFormat="1" applyFont="1" applyFill="1" applyBorder="1" applyAlignment="1">
      <alignment horizontal="center" vertical="center"/>
    </xf>
    <xf numFmtId="0" fontId="6" fillId="32" borderId="13" xfId="0" applyFont="1" applyFill="1" applyBorder="1"/>
    <xf numFmtId="4" fontId="9" fillId="30" borderId="12" xfId="0" applyNumberFormat="1" applyFont="1" applyFill="1" applyBorder="1" applyAlignment="1">
      <alignment horizontal="center" vertical="center" wrapText="1"/>
    </xf>
    <xf numFmtId="4" fontId="9" fillId="30" borderId="13" xfId="0" applyNumberFormat="1" applyFont="1" applyFill="1" applyBorder="1" applyAlignment="1">
      <alignment horizontal="center" vertical="center" wrapText="1"/>
    </xf>
    <xf numFmtId="0" fontId="9" fillId="32" borderId="32" xfId="0" applyFont="1" applyFill="1" applyBorder="1" applyAlignment="1">
      <alignment horizontal="center" vertical="center" wrapText="1"/>
    </xf>
    <xf numFmtId="0" fontId="6" fillId="32" borderId="11" xfId="0" applyFont="1" applyFill="1" applyBorder="1"/>
    <xf numFmtId="166" fontId="0" fillId="30" borderId="11" xfId="0" applyNumberFormat="1" applyFill="1" applyBorder="1" applyAlignment="1">
      <alignment horizontal="center" vertical="center"/>
    </xf>
    <xf numFmtId="1" fontId="6" fillId="30" borderId="12" xfId="0" applyNumberFormat="1" applyFont="1" applyFill="1" applyBorder="1" applyAlignment="1">
      <alignment horizontal="center" vertical="center"/>
    </xf>
    <xf numFmtId="1" fontId="6" fillId="30" borderId="13" xfId="0" applyNumberFormat="1" applyFont="1" applyFill="1" applyBorder="1" applyAlignment="1">
      <alignment horizontal="center" vertical="center"/>
    </xf>
    <xf numFmtId="1" fontId="6" fillId="30" borderId="11" xfId="0" applyNumberFormat="1" applyFont="1" applyFill="1" applyBorder="1" applyAlignment="1">
      <alignment horizontal="center" vertical="center"/>
    </xf>
    <xf numFmtId="0" fontId="9" fillId="30" borderId="30" xfId="0" applyFont="1" applyFill="1" applyBorder="1" applyAlignment="1">
      <alignment horizontal="center" vertical="center" wrapText="1"/>
    </xf>
    <xf numFmtId="0" fontId="9" fillId="30" borderId="34" xfId="0" applyFont="1" applyFill="1" applyBorder="1" applyAlignment="1">
      <alignment horizontal="center" vertical="center" wrapText="1"/>
    </xf>
    <xf numFmtId="0" fontId="9" fillId="30" borderId="29" xfId="0" applyFont="1" applyFill="1" applyBorder="1" applyAlignment="1">
      <alignment horizontal="center" vertical="center" wrapText="1"/>
    </xf>
    <xf numFmtId="4" fontId="6" fillId="30" borderId="12" xfId="40" applyNumberFormat="1" applyFont="1" applyFill="1" applyBorder="1" applyAlignment="1">
      <alignment horizontal="center" vertical="center"/>
    </xf>
    <xf numFmtId="4" fontId="6" fillId="30" borderId="13" xfId="40" applyNumberFormat="1" applyFont="1" applyFill="1" applyBorder="1" applyAlignment="1">
      <alignment horizontal="center" vertical="center"/>
    </xf>
    <xf numFmtId="4" fontId="6" fillId="30" borderId="11" xfId="40" applyNumberFormat="1" applyFont="1" applyFill="1" applyBorder="1" applyAlignment="1">
      <alignment horizontal="center" vertical="center"/>
    </xf>
    <xf numFmtId="166" fontId="0" fillId="30" borderId="25" xfId="0" applyNumberFormat="1" applyFill="1" applyBorder="1" applyAlignment="1">
      <alignment horizontal="center" vertical="center"/>
    </xf>
    <xf numFmtId="166" fontId="0" fillId="30" borderId="36" xfId="0" applyNumberFormat="1" applyFill="1" applyBorder="1" applyAlignment="1">
      <alignment horizontal="center" vertical="center"/>
    </xf>
    <xf numFmtId="166" fontId="0" fillId="30" borderId="24" xfId="0" applyNumberFormat="1" applyFill="1" applyBorder="1" applyAlignment="1">
      <alignment horizontal="center" vertical="center"/>
    </xf>
    <xf numFmtId="0" fontId="0" fillId="30" borderId="12" xfId="0" applyFill="1" applyBorder="1" applyAlignment="1">
      <alignment horizontal="center" vertical="center"/>
    </xf>
    <xf numFmtId="0" fontId="0" fillId="30" borderId="13" xfId="0" applyFill="1" applyBorder="1" applyAlignment="1">
      <alignment horizontal="center" vertical="center"/>
    </xf>
    <xf numFmtId="0" fontId="0" fillId="30" borderId="11" xfId="0" applyFill="1" applyBorder="1" applyAlignment="1">
      <alignment horizontal="center" vertical="center"/>
    </xf>
    <xf numFmtId="0" fontId="9" fillId="30" borderId="31" xfId="0" applyFont="1" applyFill="1" applyBorder="1" applyAlignment="1">
      <alignment horizontal="center" vertical="center" wrapText="1"/>
    </xf>
    <xf numFmtId="0" fontId="9" fillId="30" borderId="51" xfId="0" applyFont="1" applyFill="1" applyBorder="1" applyAlignment="1">
      <alignment horizontal="center" vertical="center" wrapText="1"/>
    </xf>
    <xf numFmtId="0" fontId="9" fillId="30" borderId="12" xfId="0" applyFont="1" applyFill="1" applyBorder="1" applyAlignment="1">
      <alignment horizontal="center" vertical="center" wrapText="1"/>
    </xf>
    <xf numFmtId="0" fontId="9" fillId="30" borderId="11" xfId="0" applyFont="1" applyFill="1" applyBorder="1" applyAlignment="1">
      <alignment horizontal="center" vertical="center" wrapText="1"/>
    </xf>
    <xf numFmtId="0" fontId="9" fillId="30" borderId="11" xfId="0" applyFont="1" applyFill="1" applyBorder="1" applyAlignment="1">
      <alignment horizontal="center" vertical="center"/>
    </xf>
  </cellXfs>
  <cellStyles count="46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 2" xfId="28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rmal_CONDMIX" xfId="38"/>
    <cellStyle name="Normal_MONTLY REPORT-MASTER" xfId="39"/>
    <cellStyle name="Normal_ROUTINE REPORT" xfId="40"/>
    <cellStyle name="Note" xfId="41" builtinId="10" customBuiltin="1"/>
    <cellStyle name="Output" xfId="42" builtinId="21" customBuiltin="1"/>
    <cellStyle name="Title" xfId="43" builtinId="15" customBuiltin="1"/>
    <cellStyle name="Total" xfId="44" builtinId="25" customBuiltin="1"/>
    <cellStyle name="Warning Text" xfId="45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G242"/>
  <sheetViews>
    <sheetView tabSelected="1" view="pageBreakPreview" topLeftCell="E1" zoomScale="70" zoomScaleSheetLayoutView="70" workbookViewId="0">
      <pane ySplit="7" topLeftCell="A32" activePane="bottomLeft" state="frozen"/>
      <selection pane="bottomLeft" activeCell="X33" sqref="X33"/>
    </sheetView>
  </sheetViews>
  <sheetFormatPr defaultRowHeight="15" x14ac:dyDescent="0.2"/>
  <cols>
    <col min="1" max="1" width="6.140625" style="2" customWidth="1"/>
    <col min="2" max="2" width="15" style="2" bestFit="1" customWidth="1"/>
    <col min="3" max="3" width="15" style="2" customWidth="1"/>
    <col min="4" max="4" width="16.28515625" style="51" customWidth="1"/>
    <col min="5" max="5" width="31.5703125" style="2" customWidth="1"/>
    <col min="6" max="6" width="17.140625" style="51" customWidth="1"/>
    <col min="7" max="7" width="24.140625" style="50" customWidth="1"/>
    <col min="8" max="8" width="9.5703125" style="34" customWidth="1"/>
    <col min="9" max="9" width="22.7109375" style="50" customWidth="1"/>
    <col min="10" max="10" width="12" style="50" customWidth="1"/>
    <col min="11" max="11" width="13.5703125" style="46" hidden="1" customWidth="1"/>
    <col min="12" max="12" width="13.42578125" style="46" hidden="1" customWidth="1"/>
    <col min="13" max="13" width="16" style="46" hidden="1" customWidth="1"/>
    <col min="14" max="14" width="13.5703125" style="46" hidden="1" customWidth="1"/>
    <col min="15" max="15" width="16" style="46" hidden="1" customWidth="1"/>
    <col min="16" max="16" width="13.42578125" style="1" hidden="1" customWidth="1"/>
    <col min="17" max="17" width="26.5703125" style="1" customWidth="1"/>
    <col min="18" max="18" width="18.140625" style="31" customWidth="1"/>
    <col min="19" max="19" width="17.42578125" style="1" customWidth="1"/>
    <col min="20" max="21" width="17.7109375" style="1" customWidth="1"/>
    <col min="22" max="23" width="12.28515625" style="29" customWidth="1"/>
    <col min="24" max="24" width="23.140625" style="1" customWidth="1"/>
    <col min="25" max="25" width="26.7109375" style="1" customWidth="1"/>
    <col min="26" max="26" width="18.7109375" style="1" customWidth="1"/>
    <col min="27" max="27" width="14.140625" style="5" customWidth="1"/>
    <col min="28" max="28" width="10.7109375" style="17" customWidth="1"/>
    <col min="30" max="30" width="12.140625" bestFit="1" customWidth="1"/>
    <col min="32" max="32" width="16.5703125" bestFit="1" customWidth="1"/>
  </cols>
  <sheetData>
    <row r="1" spans="1:32" ht="12.75" x14ac:dyDescent="0.2">
      <c r="A1" s="537" t="s">
        <v>1282</v>
      </c>
      <c r="B1" s="537"/>
      <c r="C1" s="537"/>
      <c r="D1" s="537"/>
      <c r="E1" s="537"/>
      <c r="F1" s="537"/>
      <c r="G1" s="537"/>
      <c r="H1" s="537"/>
      <c r="I1" s="537"/>
      <c r="J1" s="537"/>
      <c r="K1" s="537"/>
      <c r="L1" s="537"/>
      <c r="M1" s="537"/>
      <c r="N1" s="537"/>
      <c r="O1" s="537"/>
      <c r="P1" s="537"/>
      <c r="Q1" s="537"/>
      <c r="R1" s="537"/>
      <c r="S1" s="537"/>
      <c r="T1" s="537"/>
      <c r="U1" s="537"/>
      <c r="V1" s="538"/>
      <c r="W1" s="538"/>
      <c r="X1" s="538"/>
      <c r="Y1" s="537"/>
      <c r="Z1" s="55"/>
      <c r="AA1" s="55"/>
      <c r="AB1" s="55"/>
    </row>
    <row r="2" spans="1:32" ht="12.75" x14ac:dyDescent="0.2">
      <c r="A2" s="537" t="s">
        <v>2152</v>
      </c>
      <c r="B2" s="537"/>
      <c r="C2" s="537"/>
      <c r="D2" s="537"/>
      <c r="E2" s="537"/>
      <c r="F2" s="537"/>
      <c r="G2" s="537"/>
      <c r="H2" s="537"/>
      <c r="I2" s="537"/>
      <c r="J2" s="537"/>
      <c r="K2" s="537"/>
      <c r="L2" s="537"/>
      <c r="M2" s="537"/>
      <c r="N2" s="537"/>
      <c r="O2" s="537"/>
      <c r="P2" s="537"/>
      <c r="Q2" s="537"/>
      <c r="R2" s="537"/>
      <c r="S2" s="537"/>
      <c r="T2" s="537"/>
      <c r="U2" s="537"/>
      <c r="V2" s="538"/>
      <c r="W2" s="538"/>
      <c r="X2" s="538"/>
      <c r="Y2" s="537"/>
      <c r="Z2" s="55"/>
      <c r="AA2" s="55"/>
      <c r="AB2" s="55"/>
    </row>
    <row r="3" spans="1:32" ht="12.75" x14ac:dyDescent="0.2">
      <c r="A3" s="537" t="s">
        <v>2367</v>
      </c>
      <c r="B3" s="537"/>
      <c r="C3" s="537"/>
      <c r="D3" s="537"/>
      <c r="E3" s="537"/>
      <c r="F3" s="537"/>
      <c r="G3" s="537"/>
      <c r="H3" s="537"/>
      <c r="I3" s="537"/>
      <c r="J3" s="537"/>
      <c r="K3" s="537"/>
      <c r="L3" s="537"/>
      <c r="M3" s="537"/>
      <c r="N3" s="537"/>
      <c r="O3" s="537"/>
      <c r="P3" s="537"/>
      <c r="Q3" s="537"/>
      <c r="R3" s="537"/>
      <c r="S3" s="537"/>
      <c r="T3" s="537"/>
      <c r="U3" s="537"/>
      <c r="V3" s="538"/>
      <c r="W3" s="538"/>
      <c r="X3" s="538"/>
      <c r="Y3" s="537"/>
      <c r="Z3" s="55"/>
      <c r="AA3" s="55"/>
      <c r="AB3" s="55"/>
    </row>
    <row r="4" spans="1:32" ht="9.75" customHeight="1" thickBot="1" x14ac:dyDescent="0.25">
      <c r="A4" s="5"/>
      <c r="B4" s="5"/>
      <c r="C4" s="5"/>
      <c r="E4" s="5"/>
      <c r="H4" s="32"/>
      <c r="K4" s="40"/>
      <c r="L4" s="40"/>
      <c r="M4" s="40"/>
      <c r="N4" s="40"/>
      <c r="O4" s="40"/>
      <c r="P4" s="6"/>
      <c r="Q4" s="6"/>
      <c r="R4" s="30"/>
      <c r="S4" s="6"/>
      <c r="T4" s="6"/>
      <c r="U4" s="6"/>
      <c r="V4" s="28"/>
      <c r="W4" s="28"/>
      <c r="X4" s="6"/>
      <c r="Y4" s="6"/>
      <c r="Z4" s="6"/>
      <c r="AB4" s="15"/>
    </row>
    <row r="5" spans="1:32" s="3" customFormat="1" ht="13.5" customHeight="1" thickTop="1" x14ac:dyDescent="0.2">
      <c r="A5" s="523" t="s">
        <v>1943</v>
      </c>
      <c r="B5" s="523" t="s">
        <v>95</v>
      </c>
      <c r="C5" s="523" t="s">
        <v>96</v>
      </c>
      <c r="D5" s="521" t="s">
        <v>1285</v>
      </c>
      <c r="E5" s="523" t="s">
        <v>1867</v>
      </c>
      <c r="F5" s="521" t="s">
        <v>1707</v>
      </c>
      <c r="G5" s="521" t="s">
        <v>1284</v>
      </c>
      <c r="H5" s="533" t="s">
        <v>1008</v>
      </c>
      <c r="I5" s="521" t="s">
        <v>1286</v>
      </c>
      <c r="J5" s="542" t="s">
        <v>759</v>
      </c>
      <c r="K5" s="521" t="s">
        <v>1656</v>
      </c>
      <c r="L5" s="522"/>
      <c r="M5" s="522"/>
      <c r="N5" s="522"/>
      <c r="O5" s="522"/>
      <c r="P5" s="521" t="s">
        <v>846</v>
      </c>
      <c r="Q5" s="540" t="s">
        <v>99</v>
      </c>
      <c r="R5" s="540" t="s">
        <v>1288</v>
      </c>
      <c r="S5" s="521" t="s">
        <v>1188</v>
      </c>
      <c r="T5" s="523" t="s">
        <v>74</v>
      </c>
      <c r="U5" s="523" t="s">
        <v>100</v>
      </c>
      <c r="V5" s="472" t="s">
        <v>624</v>
      </c>
      <c r="W5" s="473"/>
      <c r="X5" s="529" t="s">
        <v>1708</v>
      </c>
      <c r="Y5" s="524" t="s">
        <v>103</v>
      </c>
      <c r="Z5" s="534" t="s">
        <v>70</v>
      </c>
      <c r="AA5" s="530" t="s">
        <v>2074</v>
      </c>
      <c r="AB5" s="527" t="s">
        <v>2091</v>
      </c>
      <c r="AC5" s="519" t="s">
        <v>1659</v>
      </c>
      <c r="AD5" s="519"/>
    </row>
    <row r="6" spans="1:32" s="3" customFormat="1" ht="12.75" customHeight="1" x14ac:dyDescent="0.2">
      <c r="A6" s="539"/>
      <c r="B6" s="539"/>
      <c r="C6" s="539"/>
      <c r="D6" s="521"/>
      <c r="E6" s="523"/>
      <c r="F6" s="521"/>
      <c r="G6" s="521"/>
      <c r="H6" s="533"/>
      <c r="I6" s="521"/>
      <c r="J6" s="542"/>
      <c r="K6" s="42" t="s">
        <v>1654</v>
      </c>
      <c r="L6" s="42" t="s">
        <v>688</v>
      </c>
      <c r="M6" s="42" t="s">
        <v>1661</v>
      </c>
      <c r="N6" s="42" t="s">
        <v>688</v>
      </c>
      <c r="O6" s="42" t="s">
        <v>1661</v>
      </c>
      <c r="P6" s="521"/>
      <c r="Q6" s="541"/>
      <c r="R6" s="541"/>
      <c r="S6" s="521"/>
      <c r="T6" s="523"/>
      <c r="U6" s="523"/>
      <c r="V6" s="533" t="s">
        <v>885</v>
      </c>
      <c r="W6" s="533" t="s">
        <v>1289</v>
      </c>
      <c r="X6" s="529"/>
      <c r="Y6" s="525"/>
      <c r="Z6" s="535"/>
      <c r="AA6" s="531"/>
      <c r="AB6" s="528"/>
      <c r="AC6" s="520"/>
      <c r="AD6" s="520"/>
    </row>
    <row r="7" spans="1:32" s="3" customFormat="1" ht="15" customHeight="1" thickBot="1" x14ac:dyDescent="0.25">
      <c r="A7" s="539"/>
      <c r="B7" s="539"/>
      <c r="C7" s="539"/>
      <c r="D7" s="521"/>
      <c r="E7" s="523"/>
      <c r="F7" s="521"/>
      <c r="G7" s="521"/>
      <c r="H7" s="533"/>
      <c r="I7" s="521"/>
      <c r="J7" s="542"/>
      <c r="K7" s="42" t="s">
        <v>1655</v>
      </c>
      <c r="L7" s="42" t="s">
        <v>689</v>
      </c>
      <c r="M7" s="42" t="s">
        <v>97</v>
      </c>
      <c r="N7" s="42" t="s">
        <v>690</v>
      </c>
      <c r="O7" s="42" t="s">
        <v>98</v>
      </c>
      <c r="P7" s="521"/>
      <c r="Q7" s="541"/>
      <c r="R7" s="541"/>
      <c r="S7" s="521"/>
      <c r="T7" s="523"/>
      <c r="U7" s="523"/>
      <c r="V7" s="533"/>
      <c r="W7" s="533"/>
      <c r="X7" s="529"/>
      <c r="Y7" s="526"/>
      <c r="Z7" s="536"/>
      <c r="AA7" s="532"/>
      <c r="AB7" s="528"/>
      <c r="AC7" s="520"/>
      <c r="AD7" s="520"/>
      <c r="AE7" s="61"/>
    </row>
    <row r="8" spans="1:32" s="250" customFormat="1" ht="29.25" customHeight="1" x14ac:dyDescent="0.2">
      <c r="A8" s="517" t="s">
        <v>13</v>
      </c>
      <c r="B8" s="517"/>
      <c r="C8" s="517"/>
      <c r="D8" s="517"/>
      <c r="E8" s="517"/>
      <c r="F8" s="517"/>
      <c r="G8" s="517"/>
      <c r="H8" s="52"/>
      <c r="I8" s="475"/>
      <c r="J8" s="476"/>
      <c r="K8" s="42"/>
      <c r="L8" s="42"/>
      <c r="M8" s="42"/>
      <c r="N8" s="42"/>
      <c r="O8" s="42"/>
      <c r="P8" s="477"/>
      <c r="Q8" s="477"/>
      <c r="R8" s="19"/>
      <c r="S8" s="478"/>
      <c r="T8" s="21"/>
      <c r="U8" s="21"/>
      <c r="V8" s="52"/>
      <c r="W8" s="52"/>
      <c r="X8" s="18"/>
      <c r="Y8" s="457"/>
      <c r="Z8" s="35"/>
      <c r="AA8" s="54"/>
      <c r="AB8" s="247"/>
      <c r="AC8" s="248"/>
      <c r="AD8" s="249"/>
      <c r="AE8" s="249"/>
    </row>
    <row r="9" spans="1:32" s="4" customFormat="1" ht="30" x14ac:dyDescent="0.2">
      <c r="A9" s="483">
        <v>1</v>
      </c>
      <c r="B9" s="484" t="s">
        <v>102</v>
      </c>
      <c r="C9" s="484" t="s">
        <v>101</v>
      </c>
      <c r="D9" s="470" t="s">
        <v>2113</v>
      </c>
      <c r="E9" s="485" t="s">
        <v>1106</v>
      </c>
      <c r="F9" s="459" t="s">
        <v>2330</v>
      </c>
      <c r="G9" s="27" t="s">
        <v>1108</v>
      </c>
      <c r="H9" s="33">
        <v>5</v>
      </c>
      <c r="I9" s="27" t="s">
        <v>393</v>
      </c>
      <c r="J9" s="470" t="s">
        <v>2235</v>
      </c>
      <c r="K9" s="42">
        <v>39728</v>
      </c>
      <c r="L9" s="486" t="s">
        <v>2255</v>
      </c>
      <c r="M9" s="486" t="s">
        <v>2255</v>
      </c>
      <c r="N9" s="486" t="s">
        <v>2255</v>
      </c>
      <c r="O9" s="486" t="s">
        <v>2255</v>
      </c>
      <c r="P9" s="486" t="s">
        <v>2255</v>
      </c>
      <c r="Q9" s="486" t="s">
        <v>2255</v>
      </c>
      <c r="R9" s="19">
        <v>778153.2</v>
      </c>
      <c r="S9" s="19">
        <v>778153.2</v>
      </c>
      <c r="T9" s="22">
        <v>0</v>
      </c>
      <c r="U9" s="22">
        <f t="shared" ref="U9:U16" si="0">S9-T9</f>
        <v>778153.2</v>
      </c>
      <c r="V9" s="471">
        <f t="shared" ref="V9:V15" si="1">T9/S9*100</f>
        <v>0</v>
      </c>
      <c r="W9" s="486" t="s">
        <v>2255</v>
      </c>
      <c r="X9" s="27" t="s">
        <v>1855</v>
      </c>
      <c r="Y9" s="487"/>
      <c r="Z9" s="460"/>
      <c r="AA9" s="27"/>
      <c r="AB9" s="27"/>
      <c r="AC9" s="8" t="s">
        <v>91</v>
      </c>
      <c r="AD9" s="470"/>
      <c r="AE9" s="25"/>
      <c r="AF9" s="42"/>
    </row>
    <row r="10" spans="1:32" s="292" customFormat="1" ht="150" x14ac:dyDescent="0.2">
      <c r="A10" s="496">
        <v>2</v>
      </c>
      <c r="B10" s="508" t="s">
        <v>102</v>
      </c>
      <c r="C10" s="508" t="s">
        <v>101</v>
      </c>
      <c r="D10" s="289" t="s">
        <v>2113</v>
      </c>
      <c r="E10" s="498" t="s">
        <v>1107</v>
      </c>
      <c r="F10" s="501" t="s">
        <v>2330</v>
      </c>
      <c r="G10" s="436" t="s">
        <v>1109</v>
      </c>
      <c r="H10" s="437">
        <v>5</v>
      </c>
      <c r="I10" s="436" t="s">
        <v>1685</v>
      </c>
      <c r="J10" s="289" t="s">
        <v>2235</v>
      </c>
      <c r="K10" s="438">
        <v>40926</v>
      </c>
      <c r="L10" s="509" t="s">
        <v>2255</v>
      </c>
      <c r="M10" s="509" t="s">
        <v>2255</v>
      </c>
      <c r="N10" s="509" t="s">
        <v>2255</v>
      </c>
      <c r="O10" s="509" t="s">
        <v>2255</v>
      </c>
      <c r="P10" s="509" t="s">
        <v>2255</v>
      </c>
      <c r="Q10" s="436" t="s">
        <v>265</v>
      </c>
      <c r="R10" s="290">
        <v>1022583.05</v>
      </c>
      <c r="S10" s="290">
        <v>1022583.05</v>
      </c>
      <c r="T10" s="291">
        <v>475476.75</v>
      </c>
      <c r="U10" s="291">
        <f t="shared" si="0"/>
        <v>547106.30000000005</v>
      </c>
      <c r="V10" s="441">
        <f t="shared" si="1"/>
        <v>46.497616990619974</v>
      </c>
      <c r="W10" s="289">
        <v>50</v>
      </c>
      <c r="X10" s="436" t="s">
        <v>1283</v>
      </c>
      <c r="Y10" s="510" t="s">
        <v>2374</v>
      </c>
      <c r="Z10" s="511"/>
      <c r="AA10" s="512"/>
      <c r="AB10" s="512"/>
      <c r="AC10" s="443" t="s">
        <v>91</v>
      </c>
      <c r="AD10" s="289"/>
      <c r="AE10" s="442" t="e">
        <f ca="1">(AF10-L10)/O10*100</f>
        <v>#VALUE!</v>
      </c>
      <c r="AF10" s="438">
        <f ca="1">TODAY()</f>
        <v>41827</v>
      </c>
    </row>
    <row r="11" spans="1:32" s="4" customFormat="1" ht="105" x14ac:dyDescent="0.2">
      <c r="A11" s="483">
        <v>3</v>
      </c>
      <c r="B11" s="484" t="s">
        <v>102</v>
      </c>
      <c r="C11" s="484" t="s">
        <v>101</v>
      </c>
      <c r="D11" s="470" t="s">
        <v>329</v>
      </c>
      <c r="E11" s="10" t="s">
        <v>2166</v>
      </c>
      <c r="F11" s="459" t="s">
        <v>2330</v>
      </c>
      <c r="G11" s="27" t="s">
        <v>520</v>
      </c>
      <c r="H11" s="33">
        <v>6</v>
      </c>
      <c r="I11" s="27" t="s">
        <v>1681</v>
      </c>
      <c r="J11" s="470" t="s">
        <v>2235</v>
      </c>
      <c r="K11" s="42">
        <v>39476</v>
      </c>
      <c r="L11" s="42">
        <v>39518</v>
      </c>
      <c r="M11" s="56">
        <f t="shared" ref="M11:M20" si="2">L11-K11</f>
        <v>42</v>
      </c>
      <c r="N11" s="42">
        <v>39883</v>
      </c>
      <c r="O11" s="56">
        <f t="shared" ref="O11:O20" si="3">P11-L11</f>
        <v>365</v>
      </c>
      <c r="P11" s="42">
        <v>39883</v>
      </c>
      <c r="Q11" s="58" t="s">
        <v>613</v>
      </c>
      <c r="R11" s="19">
        <v>560493.30000000005</v>
      </c>
      <c r="S11" s="19">
        <v>560493.30000000005</v>
      </c>
      <c r="T11" s="22">
        <v>137250.54</v>
      </c>
      <c r="U11" s="22">
        <f t="shared" si="0"/>
        <v>423242.76</v>
      </c>
      <c r="V11" s="471">
        <f t="shared" si="1"/>
        <v>24.487454176526285</v>
      </c>
      <c r="W11" s="470">
        <v>52</v>
      </c>
      <c r="X11" s="27" t="s">
        <v>2227</v>
      </c>
      <c r="Y11" s="487" t="s">
        <v>2336</v>
      </c>
      <c r="Z11" s="461"/>
      <c r="AA11" s="58"/>
      <c r="AB11" s="58"/>
      <c r="AC11" s="8" t="s">
        <v>2090</v>
      </c>
      <c r="AD11" s="470">
        <v>3</v>
      </c>
      <c r="AE11" s="25"/>
      <c r="AF11" s="42"/>
    </row>
    <row r="12" spans="1:32" s="4" customFormat="1" ht="60" x14ac:dyDescent="0.2">
      <c r="A12" s="483">
        <v>4</v>
      </c>
      <c r="B12" s="484" t="s">
        <v>102</v>
      </c>
      <c r="C12" s="484" t="s">
        <v>101</v>
      </c>
      <c r="D12" s="470" t="s">
        <v>329</v>
      </c>
      <c r="E12" s="10" t="s">
        <v>2109</v>
      </c>
      <c r="F12" s="459" t="s">
        <v>2330</v>
      </c>
      <c r="G12" s="27" t="s">
        <v>334</v>
      </c>
      <c r="H12" s="33">
        <v>4</v>
      </c>
      <c r="I12" s="27" t="s">
        <v>1683</v>
      </c>
      <c r="J12" s="470" t="s">
        <v>2235</v>
      </c>
      <c r="K12" s="42">
        <v>39806</v>
      </c>
      <c r="L12" s="43">
        <v>39916</v>
      </c>
      <c r="M12" s="56">
        <f t="shared" si="2"/>
        <v>110</v>
      </c>
      <c r="N12" s="43">
        <v>40281</v>
      </c>
      <c r="O12" s="56">
        <f t="shared" si="3"/>
        <v>365</v>
      </c>
      <c r="P12" s="43">
        <v>40281</v>
      </c>
      <c r="Q12" s="27" t="s">
        <v>1937</v>
      </c>
      <c r="R12" s="19">
        <v>897044.72</v>
      </c>
      <c r="S12" s="19">
        <v>897044.72</v>
      </c>
      <c r="T12" s="22">
        <v>713220.67</v>
      </c>
      <c r="U12" s="22">
        <f t="shared" si="0"/>
        <v>183824.04999999993</v>
      </c>
      <c r="V12" s="471">
        <f t="shared" si="1"/>
        <v>79.507816511087654</v>
      </c>
      <c r="W12" s="25">
        <v>85</v>
      </c>
      <c r="X12" s="470" t="s">
        <v>1960</v>
      </c>
      <c r="Y12" s="487" t="s">
        <v>2337</v>
      </c>
      <c r="Z12" s="460"/>
      <c r="AA12" s="27"/>
      <c r="AB12" s="27"/>
      <c r="AC12" s="108" t="s">
        <v>2090</v>
      </c>
      <c r="AD12" s="470">
        <v>6</v>
      </c>
      <c r="AE12" s="25">
        <f ca="1">(AF12-L12)/O12*100</f>
        <v>523.56164383561645</v>
      </c>
      <c r="AF12" s="42">
        <f ca="1">TODAY()</f>
        <v>41827</v>
      </c>
    </row>
    <row r="13" spans="1:32" s="4" customFormat="1" ht="60" x14ac:dyDescent="0.2">
      <c r="A13" s="483">
        <v>5</v>
      </c>
      <c r="B13" s="484" t="s">
        <v>102</v>
      </c>
      <c r="C13" s="484" t="s">
        <v>101</v>
      </c>
      <c r="D13" s="470" t="s">
        <v>1527</v>
      </c>
      <c r="E13" s="10" t="s">
        <v>758</v>
      </c>
      <c r="F13" s="459" t="s">
        <v>2330</v>
      </c>
      <c r="G13" s="27" t="s">
        <v>333</v>
      </c>
      <c r="H13" s="33">
        <v>15</v>
      </c>
      <c r="I13" s="27" t="s">
        <v>223</v>
      </c>
      <c r="J13" s="470" t="s">
        <v>2235</v>
      </c>
      <c r="K13" s="42">
        <v>39415</v>
      </c>
      <c r="L13" s="42">
        <v>39525</v>
      </c>
      <c r="M13" s="56">
        <f t="shared" si="2"/>
        <v>110</v>
      </c>
      <c r="N13" s="42">
        <v>40255</v>
      </c>
      <c r="O13" s="56">
        <f t="shared" si="3"/>
        <v>730</v>
      </c>
      <c r="P13" s="42">
        <v>40255</v>
      </c>
      <c r="Q13" s="470" t="s">
        <v>735</v>
      </c>
      <c r="R13" s="19">
        <v>2140458.46</v>
      </c>
      <c r="S13" s="19">
        <v>2140458.46</v>
      </c>
      <c r="T13" s="19">
        <v>588921.80000000005</v>
      </c>
      <c r="U13" s="22">
        <f t="shared" si="0"/>
        <v>1551536.66</v>
      </c>
      <c r="V13" s="471">
        <f t="shared" si="1"/>
        <v>27.513815895310579</v>
      </c>
      <c r="W13" s="470">
        <v>41</v>
      </c>
      <c r="X13" s="27" t="s">
        <v>912</v>
      </c>
      <c r="Y13" s="27" t="s">
        <v>2338</v>
      </c>
      <c r="Z13" s="458"/>
      <c r="AA13" s="470"/>
      <c r="AB13" s="470"/>
      <c r="AC13" s="11" t="s">
        <v>2088</v>
      </c>
      <c r="AD13" s="470">
        <v>5</v>
      </c>
      <c r="AE13" s="25"/>
      <c r="AF13" s="42"/>
    </row>
    <row r="14" spans="1:32" s="4" customFormat="1" ht="60" x14ac:dyDescent="0.2">
      <c r="A14" s="483">
        <v>6</v>
      </c>
      <c r="B14" s="484" t="s">
        <v>102</v>
      </c>
      <c r="C14" s="484" t="s">
        <v>101</v>
      </c>
      <c r="D14" s="470" t="s">
        <v>329</v>
      </c>
      <c r="E14" s="10" t="s">
        <v>8</v>
      </c>
      <c r="F14" s="459" t="s">
        <v>2330</v>
      </c>
      <c r="G14" s="27" t="s">
        <v>1856</v>
      </c>
      <c r="H14" s="33">
        <v>6.5</v>
      </c>
      <c r="I14" s="27" t="s">
        <v>1857</v>
      </c>
      <c r="J14" s="470" t="s">
        <v>2235</v>
      </c>
      <c r="K14" s="42">
        <v>39477</v>
      </c>
      <c r="L14" s="42">
        <v>39598</v>
      </c>
      <c r="M14" s="56">
        <f t="shared" si="2"/>
        <v>121</v>
      </c>
      <c r="N14" s="42">
        <v>39963</v>
      </c>
      <c r="O14" s="56">
        <f t="shared" si="3"/>
        <v>365</v>
      </c>
      <c r="P14" s="42">
        <v>39963</v>
      </c>
      <c r="Q14" s="470" t="s">
        <v>1858</v>
      </c>
      <c r="R14" s="19">
        <v>700060.7</v>
      </c>
      <c r="S14" s="19">
        <v>700060.7</v>
      </c>
      <c r="T14" s="22">
        <v>92246.42</v>
      </c>
      <c r="U14" s="22">
        <f t="shared" si="0"/>
        <v>607814.27999999991</v>
      </c>
      <c r="V14" s="471">
        <f t="shared" si="1"/>
        <v>13.176917373022082</v>
      </c>
      <c r="W14" s="470">
        <v>50</v>
      </c>
      <c r="X14" s="470" t="s">
        <v>1859</v>
      </c>
      <c r="Y14" s="488" t="s">
        <v>2339</v>
      </c>
      <c r="Z14" s="458"/>
      <c r="AA14" s="470"/>
      <c r="AB14" s="470"/>
      <c r="AC14" s="11" t="s">
        <v>2089</v>
      </c>
      <c r="AD14" s="470">
        <v>2</v>
      </c>
      <c r="AE14" s="25"/>
      <c r="AF14" s="42"/>
    </row>
    <row r="15" spans="1:32" s="4" customFormat="1" ht="60" x14ac:dyDescent="0.2">
      <c r="A15" s="483">
        <v>7</v>
      </c>
      <c r="B15" s="484" t="s">
        <v>102</v>
      </c>
      <c r="C15" s="484" t="s">
        <v>101</v>
      </c>
      <c r="D15" s="470" t="s">
        <v>329</v>
      </c>
      <c r="E15" s="10" t="s">
        <v>2167</v>
      </c>
      <c r="F15" s="470" t="s">
        <v>2330</v>
      </c>
      <c r="G15" s="27" t="s">
        <v>1531</v>
      </c>
      <c r="H15" s="33">
        <v>6</v>
      </c>
      <c r="I15" s="27" t="s">
        <v>1684</v>
      </c>
      <c r="J15" s="470" t="s">
        <v>2235</v>
      </c>
      <c r="K15" s="42">
        <v>39476</v>
      </c>
      <c r="L15" s="42">
        <v>39528</v>
      </c>
      <c r="M15" s="56">
        <f t="shared" si="2"/>
        <v>52</v>
      </c>
      <c r="N15" s="42">
        <v>39893</v>
      </c>
      <c r="O15" s="56">
        <f t="shared" si="3"/>
        <v>365</v>
      </c>
      <c r="P15" s="42">
        <v>39893</v>
      </c>
      <c r="Q15" s="487" t="s">
        <v>1890</v>
      </c>
      <c r="R15" s="19">
        <v>642582.88</v>
      </c>
      <c r="S15" s="19">
        <v>642582.88</v>
      </c>
      <c r="T15" s="22">
        <v>211031.75</v>
      </c>
      <c r="U15" s="22">
        <f t="shared" si="0"/>
        <v>431551.13</v>
      </c>
      <c r="V15" s="471">
        <f t="shared" si="1"/>
        <v>32.841172176887127</v>
      </c>
      <c r="W15" s="25">
        <v>30</v>
      </c>
      <c r="X15" s="27" t="s">
        <v>2242</v>
      </c>
      <c r="Y15" s="487" t="s">
        <v>1890</v>
      </c>
      <c r="Z15" s="458"/>
      <c r="AA15" s="470"/>
      <c r="AB15" s="470"/>
      <c r="AC15" s="8" t="s">
        <v>2089</v>
      </c>
      <c r="AD15" s="474">
        <v>3</v>
      </c>
      <c r="AE15" s="25"/>
      <c r="AF15" s="42"/>
    </row>
    <row r="16" spans="1:32" s="349" customFormat="1" ht="120" x14ac:dyDescent="0.2">
      <c r="A16" s="489">
        <v>8</v>
      </c>
      <c r="B16" s="490" t="s">
        <v>102</v>
      </c>
      <c r="C16" s="490" t="s">
        <v>101</v>
      </c>
      <c r="D16" s="336" t="s">
        <v>1949</v>
      </c>
      <c r="E16" s="491" t="s">
        <v>170</v>
      </c>
      <c r="F16" s="470" t="s">
        <v>2330</v>
      </c>
      <c r="G16" s="337" t="s">
        <v>1532</v>
      </c>
      <c r="H16" s="338">
        <v>6</v>
      </c>
      <c r="I16" s="337" t="s">
        <v>2008</v>
      </c>
      <c r="J16" s="336" t="s">
        <v>2235</v>
      </c>
      <c r="K16" s="339">
        <v>39805</v>
      </c>
      <c r="L16" s="348">
        <v>39849</v>
      </c>
      <c r="M16" s="340">
        <f t="shared" si="2"/>
        <v>44</v>
      </c>
      <c r="N16" s="348">
        <v>40214</v>
      </c>
      <c r="O16" s="340">
        <f t="shared" si="3"/>
        <v>1075</v>
      </c>
      <c r="P16" s="348">
        <v>40924</v>
      </c>
      <c r="Q16" s="337" t="s">
        <v>2317</v>
      </c>
      <c r="R16" s="341">
        <v>1338767.1399999999</v>
      </c>
      <c r="S16" s="341">
        <v>1338767.1399999999</v>
      </c>
      <c r="T16" s="342"/>
      <c r="U16" s="342">
        <f t="shared" si="0"/>
        <v>1338767.1399999999</v>
      </c>
      <c r="V16" s="343">
        <v>66.099999999999994</v>
      </c>
      <c r="W16" s="344">
        <v>51.67</v>
      </c>
      <c r="X16" s="337" t="s">
        <v>2331</v>
      </c>
      <c r="Y16" s="487" t="s">
        <v>2340</v>
      </c>
      <c r="Z16" s="468"/>
      <c r="AA16" s="449"/>
      <c r="AB16" s="449"/>
      <c r="AC16" s="357" t="s">
        <v>92</v>
      </c>
      <c r="AD16" s="313">
        <v>1</v>
      </c>
      <c r="AE16" s="344"/>
      <c r="AF16" s="339"/>
    </row>
    <row r="17" spans="1:32" s="4" customFormat="1" ht="90" x14ac:dyDescent="0.2">
      <c r="A17" s="483">
        <v>9</v>
      </c>
      <c r="B17" s="484" t="s">
        <v>102</v>
      </c>
      <c r="C17" s="484" t="s">
        <v>101</v>
      </c>
      <c r="D17" s="470" t="s">
        <v>1949</v>
      </c>
      <c r="E17" s="485" t="s">
        <v>2111</v>
      </c>
      <c r="F17" s="470" t="s">
        <v>2330</v>
      </c>
      <c r="G17" s="27" t="s">
        <v>118</v>
      </c>
      <c r="H17" s="33">
        <v>5.8</v>
      </c>
      <c r="I17" s="27" t="s">
        <v>1685</v>
      </c>
      <c r="J17" s="470" t="s">
        <v>2235</v>
      </c>
      <c r="K17" s="42">
        <v>39806</v>
      </c>
      <c r="L17" s="43">
        <v>39835</v>
      </c>
      <c r="M17" s="56">
        <f t="shared" si="2"/>
        <v>29</v>
      </c>
      <c r="N17" s="43">
        <v>40200</v>
      </c>
      <c r="O17" s="56">
        <f t="shared" si="3"/>
        <v>813</v>
      </c>
      <c r="P17" s="43">
        <v>40648</v>
      </c>
      <c r="Q17" s="27" t="s">
        <v>1598</v>
      </c>
      <c r="R17" s="19">
        <v>857461.16</v>
      </c>
      <c r="S17" s="19">
        <v>2153994.64</v>
      </c>
      <c r="T17" s="22">
        <v>1512456.29</v>
      </c>
      <c r="U17" s="22">
        <v>0</v>
      </c>
      <c r="V17" s="471">
        <f>T17/S17*100</f>
        <v>70.216344178089514</v>
      </c>
      <c r="W17" s="25">
        <v>100</v>
      </c>
      <c r="X17" s="470" t="s">
        <v>633</v>
      </c>
      <c r="Y17" s="487" t="s">
        <v>2346</v>
      </c>
      <c r="Z17" s="460"/>
      <c r="AA17" s="27"/>
      <c r="AB17" s="27"/>
      <c r="AC17" s="13" t="s">
        <v>92</v>
      </c>
      <c r="AD17" s="474">
        <v>8</v>
      </c>
      <c r="AE17" s="25"/>
      <c r="AF17" s="42"/>
    </row>
    <row r="18" spans="1:32" s="292" customFormat="1" ht="30" x14ac:dyDescent="0.2">
      <c r="A18" s="483">
        <v>10</v>
      </c>
      <c r="B18" s="484" t="s">
        <v>102</v>
      </c>
      <c r="C18" s="484" t="s">
        <v>101</v>
      </c>
      <c r="D18" s="470" t="s">
        <v>2113</v>
      </c>
      <c r="E18" s="10" t="s">
        <v>170</v>
      </c>
      <c r="F18" s="470" t="s">
        <v>2330</v>
      </c>
      <c r="G18" s="27" t="s">
        <v>726</v>
      </c>
      <c r="H18" s="33">
        <v>5</v>
      </c>
      <c r="I18" s="27" t="s">
        <v>2007</v>
      </c>
      <c r="J18" s="470" t="s">
        <v>2235</v>
      </c>
      <c r="K18" s="42">
        <v>39806</v>
      </c>
      <c r="L18" s="43">
        <v>39848</v>
      </c>
      <c r="M18" s="56">
        <f t="shared" si="2"/>
        <v>42</v>
      </c>
      <c r="N18" s="43">
        <v>40213</v>
      </c>
      <c r="O18" s="56">
        <f t="shared" si="3"/>
        <v>1217</v>
      </c>
      <c r="P18" s="43">
        <v>41065</v>
      </c>
      <c r="Q18" s="27" t="s">
        <v>2326</v>
      </c>
      <c r="R18" s="19">
        <v>787239</v>
      </c>
      <c r="S18" s="19">
        <v>787239</v>
      </c>
      <c r="T18" s="22">
        <v>167054.45000000001</v>
      </c>
      <c r="U18" s="22">
        <f>S18-T18</f>
        <v>620184.55000000005</v>
      </c>
      <c r="V18" s="471">
        <v>26</v>
      </c>
      <c r="W18" s="25">
        <v>12.76</v>
      </c>
      <c r="X18" s="470" t="s">
        <v>1283</v>
      </c>
      <c r="Y18" s="27" t="s">
        <v>2326</v>
      </c>
      <c r="Z18" s="462"/>
      <c r="AA18" s="436"/>
      <c r="AB18" s="436"/>
      <c r="AC18" s="443" t="s">
        <v>91</v>
      </c>
      <c r="AD18" s="444" t="s">
        <v>738</v>
      </c>
      <c r="AE18" s="442">
        <f t="shared" ref="AE18:AE20" ca="1" si="4">(AF18-L18)/O18*100</f>
        <v>162.61298274445357</v>
      </c>
      <c r="AF18" s="438">
        <f ca="1">TODAY()</f>
        <v>41827</v>
      </c>
    </row>
    <row r="19" spans="1:32" s="4" customFormat="1" ht="135" x14ac:dyDescent="0.2">
      <c r="A19" s="483">
        <v>11</v>
      </c>
      <c r="B19" s="484" t="s">
        <v>102</v>
      </c>
      <c r="C19" s="484" t="s">
        <v>101</v>
      </c>
      <c r="D19" s="470" t="s">
        <v>1676</v>
      </c>
      <c r="E19" s="10" t="s">
        <v>2110</v>
      </c>
      <c r="F19" s="470" t="s">
        <v>2330</v>
      </c>
      <c r="G19" s="27" t="s">
        <v>328</v>
      </c>
      <c r="H19" s="33">
        <v>4.5</v>
      </c>
      <c r="I19" s="27" t="s">
        <v>2008</v>
      </c>
      <c r="J19" s="470" t="s">
        <v>2235</v>
      </c>
      <c r="K19" s="42">
        <v>39805</v>
      </c>
      <c r="L19" s="43">
        <v>39849</v>
      </c>
      <c r="M19" s="56">
        <f t="shared" si="2"/>
        <v>44</v>
      </c>
      <c r="N19" s="43">
        <v>40214</v>
      </c>
      <c r="O19" s="56">
        <f t="shared" si="3"/>
        <v>2096</v>
      </c>
      <c r="P19" s="43">
        <v>41945</v>
      </c>
      <c r="Q19" s="27" t="s">
        <v>1985</v>
      </c>
      <c r="R19" s="19">
        <v>731733.88</v>
      </c>
      <c r="S19" s="19">
        <v>2462238.56</v>
      </c>
      <c r="T19" s="22">
        <v>1627442.47</v>
      </c>
      <c r="U19" s="22">
        <f>S19-T19</f>
        <v>834796.09000000008</v>
      </c>
      <c r="V19" s="471">
        <f>T19/S19*100</f>
        <v>66.096051635224157</v>
      </c>
      <c r="W19" s="25">
        <v>51.67</v>
      </c>
      <c r="X19" s="470" t="s">
        <v>2332</v>
      </c>
      <c r="Y19" s="27" t="s">
        <v>2341</v>
      </c>
      <c r="Z19" s="460"/>
      <c r="AA19" s="27"/>
      <c r="AB19" s="27"/>
      <c r="AC19" s="8" t="s">
        <v>2055</v>
      </c>
      <c r="AD19" s="474">
        <v>3</v>
      </c>
      <c r="AE19" s="25">
        <f t="shared" ca="1" si="4"/>
        <v>94.370229007633583</v>
      </c>
      <c r="AF19" s="42">
        <f ca="1">TODAY()</f>
        <v>41827</v>
      </c>
    </row>
    <row r="20" spans="1:32" s="4" customFormat="1" ht="75" x14ac:dyDescent="0.2">
      <c r="A20" s="483">
        <v>12</v>
      </c>
      <c r="B20" s="484" t="s">
        <v>102</v>
      </c>
      <c r="C20" s="484" t="s">
        <v>101</v>
      </c>
      <c r="D20" s="470" t="s">
        <v>1676</v>
      </c>
      <c r="E20" s="485" t="s">
        <v>2112</v>
      </c>
      <c r="F20" s="470" t="s">
        <v>2330</v>
      </c>
      <c r="G20" s="27" t="s">
        <v>1461</v>
      </c>
      <c r="H20" s="33">
        <v>4.7</v>
      </c>
      <c r="I20" s="27" t="s">
        <v>2186</v>
      </c>
      <c r="J20" s="470" t="s">
        <v>2235</v>
      </c>
      <c r="K20" s="42">
        <v>39724</v>
      </c>
      <c r="L20" s="43">
        <v>39783</v>
      </c>
      <c r="M20" s="56">
        <f t="shared" si="2"/>
        <v>59</v>
      </c>
      <c r="N20" s="43">
        <v>40148</v>
      </c>
      <c r="O20" s="56">
        <f t="shared" si="3"/>
        <v>1530</v>
      </c>
      <c r="P20" s="43">
        <v>41313</v>
      </c>
      <c r="Q20" s="27" t="s">
        <v>2150</v>
      </c>
      <c r="R20" s="19">
        <v>935290.86</v>
      </c>
      <c r="S20" s="19">
        <v>935290.86</v>
      </c>
      <c r="T20" s="22">
        <v>388582.49</v>
      </c>
      <c r="U20" s="22">
        <f>S20-T20</f>
        <v>546708.37</v>
      </c>
      <c r="V20" s="471">
        <f>T20/S20*100</f>
        <v>41.54670024253204</v>
      </c>
      <c r="W20" s="25">
        <v>65</v>
      </c>
      <c r="X20" s="27" t="s">
        <v>571</v>
      </c>
      <c r="Y20" s="27" t="s">
        <v>2342</v>
      </c>
      <c r="Z20" s="460"/>
      <c r="AA20" s="27"/>
      <c r="AB20" s="27"/>
      <c r="AC20" s="8" t="s">
        <v>2055</v>
      </c>
      <c r="AD20" s="474">
        <v>1</v>
      </c>
      <c r="AE20" s="25">
        <f t="shared" ca="1" si="4"/>
        <v>133.59477124183005</v>
      </c>
      <c r="AF20" s="42">
        <f ca="1">TODAY()</f>
        <v>41827</v>
      </c>
    </row>
    <row r="21" spans="1:32" s="250" customFormat="1" ht="29.25" customHeight="1" x14ac:dyDescent="0.2">
      <c r="A21" s="517" t="s">
        <v>228</v>
      </c>
      <c r="B21" s="517"/>
      <c r="C21" s="517"/>
      <c r="D21" s="517"/>
      <c r="E21" s="518"/>
      <c r="F21" s="518"/>
      <c r="G21" s="518"/>
      <c r="H21" s="479"/>
      <c r="I21" s="475"/>
      <c r="J21" s="476"/>
      <c r="K21" s="480"/>
      <c r="L21" s="480"/>
      <c r="M21" s="480"/>
      <c r="N21" s="480"/>
      <c r="O21" s="480"/>
      <c r="P21" s="11"/>
      <c r="Q21" s="11"/>
      <c r="R21" s="481"/>
      <c r="S21" s="482"/>
      <c r="T21" s="8"/>
      <c r="U21" s="8"/>
      <c r="V21" s="479"/>
      <c r="W21" s="479"/>
      <c r="X21" s="261"/>
      <c r="Y21" s="457"/>
      <c r="Z21" s="35"/>
      <c r="AA21" s="54"/>
      <c r="AB21" s="247"/>
      <c r="AC21" s="248"/>
      <c r="AD21" s="249"/>
      <c r="AE21" s="249"/>
    </row>
    <row r="22" spans="1:32" s="402" customFormat="1" ht="197.25" customHeight="1" x14ac:dyDescent="0.2">
      <c r="A22" s="496">
        <v>13</v>
      </c>
      <c r="B22" s="497" t="s">
        <v>102</v>
      </c>
      <c r="C22" s="497" t="s">
        <v>101</v>
      </c>
      <c r="D22" s="289" t="s">
        <v>331</v>
      </c>
      <c r="E22" s="498" t="s">
        <v>1789</v>
      </c>
      <c r="F22" s="289" t="s">
        <v>2330</v>
      </c>
      <c r="G22" s="436" t="s">
        <v>528</v>
      </c>
      <c r="H22" s="437">
        <v>18.91</v>
      </c>
      <c r="I22" s="436" t="s">
        <v>737</v>
      </c>
      <c r="J22" s="289" t="s">
        <v>2122</v>
      </c>
      <c r="K22" s="438">
        <v>40547</v>
      </c>
      <c r="L22" s="438">
        <v>40620</v>
      </c>
      <c r="M22" s="440">
        <f t="shared" ref="M22:M55" si="5">L22-K22</f>
        <v>73</v>
      </c>
      <c r="N22" s="438">
        <v>41351</v>
      </c>
      <c r="O22" s="440">
        <f t="shared" ref="O22:O55" si="6">P22-L22</f>
        <v>731</v>
      </c>
      <c r="P22" s="438">
        <v>41351</v>
      </c>
      <c r="Q22" s="436" t="s">
        <v>234</v>
      </c>
      <c r="R22" s="290">
        <v>7069530.6399999997</v>
      </c>
      <c r="S22" s="290">
        <v>9537373.0099999998</v>
      </c>
      <c r="T22" s="290">
        <v>12842104.67</v>
      </c>
      <c r="U22" s="291">
        <v>0</v>
      </c>
      <c r="V22" s="441">
        <f>T22/S22*100</f>
        <v>134.65033459984176</v>
      </c>
      <c r="W22" s="442">
        <v>100</v>
      </c>
      <c r="X22" s="436" t="s">
        <v>2368</v>
      </c>
      <c r="Y22" s="436" t="s">
        <v>234</v>
      </c>
      <c r="Z22" s="462"/>
      <c r="AA22" s="436"/>
      <c r="AB22" s="436"/>
      <c r="AC22" s="444" t="s">
        <v>2220</v>
      </c>
      <c r="AD22" s="499"/>
      <c r="AE22" s="442">
        <f t="shared" ref="AE22:AE32" ca="1" si="7">(AF22-L22)/O22*100</f>
        <v>165.11627906976744</v>
      </c>
      <c r="AF22" s="438">
        <f ca="1">TODAY()</f>
        <v>41827</v>
      </c>
    </row>
    <row r="23" spans="1:32" s="346" customFormat="1" ht="75" customHeight="1" x14ac:dyDescent="0.2">
      <c r="A23" s="489">
        <v>14</v>
      </c>
      <c r="B23" s="492" t="s">
        <v>102</v>
      </c>
      <c r="C23" s="492" t="s">
        <v>101</v>
      </c>
      <c r="D23" s="336" t="s">
        <v>1965</v>
      </c>
      <c r="E23" s="491" t="s">
        <v>227</v>
      </c>
      <c r="F23" s="470" t="s">
        <v>2330</v>
      </c>
      <c r="G23" s="337" t="s">
        <v>749</v>
      </c>
      <c r="H23" s="338">
        <f>9.9-6.4</f>
        <v>3.5</v>
      </c>
      <c r="I23" s="337" t="s">
        <v>2214</v>
      </c>
      <c r="J23" s="336" t="s">
        <v>2122</v>
      </c>
      <c r="K23" s="339">
        <v>40729</v>
      </c>
      <c r="L23" s="339">
        <v>40778</v>
      </c>
      <c r="M23" s="340">
        <f t="shared" si="5"/>
        <v>49</v>
      </c>
      <c r="N23" s="339">
        <v>41144</v>
      </c>
      <c r="O23" s="340">
        <f t="shared" si="6"/>
        <v>366</v>
      </c>
      <c r="P23" s="339">
        <v>41144</v>
      </c>
      <c r="Q23" s="337" t="s">
        <v>2287</v>
      </c>
      <c r="R23" s="341">
        <v>781550.75</v>
      </c>
      <c r="S23" s="341">
        <v>781550.75</v>
      </c>
      <c r="T23" s="19">
        <v>94864.87</v>
      </c>
      <c r="U23" s="342">
        <f>S23-T23</f>
        <v>686685.88</v>
      </c>
      <c r="V23" s="343">
        <v>21.05</v>
      </c>
      <c r="W23" s="344">
        <v>35</v>
      </c>
      <c r="X23" s="337" t="s">
        <v>773</v>
      </c>
      <c r="Y23" s="487" t="s">
        <v>2343</v>
      </c>
      <c r="Z23" s="463"/>
      <c r="AA23" s="337"/>
      <c r="AB23" s="337"/>
      <c r="AC23" s="345" t="s">
        <v>1956</v>
      </c>
      <c r="AD23" s="493">
        <v>2</v>
      </c>
      <c r="AE23" s="344">
        <f t="shared" ca="1" si="7"/>
        <v>286.61202185792354</v>
      </c>
      <c r="AF23" s="339">
        <f t="shared" ref="AF23:AF63" ca="1" si="8">TODAY()</f>
        <v>41827</v>
      </c>
    </row>
    <row r="24" spans="1:32" s="60" customFormat="1" ht="90" x14ac:dyDescent="0.2">
      <c r="A24" s="483">
        <v>15</v>
      </c>
      <c r="B24" s="494" t="s">
        <v>102</v>
      </c>
      <c r="C24" s="494" t="s">
        <v>101</v>
      </c>
      <c r="D24" s="470" t="s">
        <v>1965</v>
      </c>
      <c r="E24" s="485" t="s">
        <v>1799</v>
      </c>
      <c r="F24" s="470" t="s">
        <v>2330</v>
      </c>
      <c r="G24" s="27" t="s">
        <v>751</v>
      </c>
      <c r="H24" s="33">
        <f>12.4-9.9</f>
        <v>2.5</v>
      </c>
      <c r="I24" s="27" t="s">
        <v>2215</v>
      </c>
      <c r="J24" s="470" t="s">
        <v>2122</v>
      </c>
      <c r="K24" s="42">
        <v>40736</v>
      </c>
      <c r="L24" s="42">
        <v>40778</v>
      </c>
      <c r="M24" s="56">
        <f t="shared" si="5"/>
        <v>42</v>
      </c>
      <c r="N24" s="42">
        <v>41144</v>
      </c>
      <c r="O24" s="56">
        <f t="shared" si="6"/>
        <v>366</v>
      </c>
      <c r="P24" s="42">
        <v>41144</v>
      </c>
      <c r="Q24" s="27" t="s">
        <v>1933</v>
      </c>
      <c r="R24" s="19">
        <v>748466.66</v>
      </c>
      <c r="S24" s="19">
        <v>748466.66</v>
      </c>
      <c r="T24" s="19">
        <v>112475.45</v>
      </c>
      <c r="U24" s="22">
        <f>S24-T24</f>
        <v>635991.21000000008</v>
      </c>
      <c r="V24" s="471">
        <f>T24/S24*100</f>
        <v>15.027449586064392</v>
      </c>
      <c r="W24" s="25">
        <v>25</v>
      </c>
      <c r="X24" s="27" t="s">
        <v>724</v>
      </c>
      <c r="Y24" s="27" t="s">
        <v>2344</v>
      </c>
      <c r="Z24" s="460"/>
      <c r="AA24" s="27"/>
      <c r="AB24" s="27"/>
      <c r="AC24" s="11" t="s">
        <v>1956</v>
      </c>
      <c r="AD24" s="495"/>
      <c r="AE24" s="25">
        <f t="shared" ca="1" si="7"/>
        <v>286.61202185792354</v>
      </c>
      <c r="AF24" s="42">
        <f t="shared" ca="1" si="8"/>
        <v>41827</v>
      </c>
    </row>
    <row r="25" spans="1:32" s="60" customFormat="1" ht="165" x14ac:dyDescent="0.2">
      <c r="A25" s="483">
        <v>16</v>
      </c>
      <c r="B25" s="494" t="s">
        <v>102</v>
      </c>
      <c r="C25" s="494" t="s">
        <v>101</v>
      </c>
      <c r="D25" s="470" t="s">
        <v>1676</v>
      </c>
      <c r="E25" s="485"/>
      <c r="F25" s="470" t="s">
        <v>2333</v>
      </c>
      <c r="G25" s="27" t="s">
        <v>750</v>
      </c>
      <c r="H25" s="33">
        <v>7</v>
      </c>
      <c r="I25" s="27" t="s">
        <v>743</v>
      </c>
      <c r="J25" s="470" t="s">
        <v>2122</v>
      </c>
      <c r="K25" s="42">
        <v>40730</v>
      </c>
      <c r="L25" s="42">
        <v>40781</v>
      </c>
      <c r="M25" s="56">
        <f t="shared" si="5"/>
        <v>51</v>
      </c>
      <c r="N25" s="42">
        <v>41147</v>
      </c>
      <c r="O25" s="56">
        <f t="shared" si="6"/>
        <v>366</v>
      </c>
      <c r="P25" s="42">
        <v>41147</v>
      </c>
      <c r="Q25" s="27" t="s">
        <v>107</v>
      </c>
      <c r="R25" s="19">
        <v>791815.55</v>
      </c>
      <c r="S25" s="19">
        <v>791815.55</v>
      </c>
      <c r="T25" s="19">
        <v>318835.89</v>
      </c>
      <c r="U25" s="22">
        <f>S25-T25</f>
        <v>472979.66000000003</v>
      </c>
      <c r="V25" s="471">
        <f>T25/S25*100</f>
        <v>40.266434525060788</v>
      </c>
      <c r="W25" s="25">
        <v>85</v>
      </c>
      <c r="X25" s="27" t="s">
        <v>1283</v>
      </c>
      <c r="Y25" s="27" t="s">
        <v>2345</v>
      </c>
      <c r="Z25" s="487"/>
      <c r="AA25" s="27"/>
      <c r="AB25" s="27"/>
      <c r="AC25" s="11" t="s">
        <v>610</v>
      </c>
      <c r="AD25" s="495"/>
      <c r="AE25" s="25">
        <f t="shared" ca="1" si="7"/>
        <v>285.79234972677597</v>
      </c>
      <c r="AF25" s="42">
        <f t="shared" ca="1" si="8"/>
        <v>41827</v>
      </c>
    </row>
    <row r="26" spans="1:32" s="346" customFormat="1" ht="75" x14ac:dyDescent="0.2">
      <c r="A26" s="489">
        <v>17</v>
      </c>
      <c r="B26" s="492" t="s">
        <v>102</v>
      </c>
      <c r="C26" s="492" t="s">
        <v>101</v>
      </c>
      <c r="D26" s="336" t="s">
        <v>1676</v>
      </c>
      <c r="E26" s="491" t="s">
        <v>229</v>
      </c>
      <c r="F26" s="470" t="s">
        <v>2333</v>
      </c>
      <c r="G26" s="337" t="s">
        <v>752</v>
      </c>
      <c r="H26" s="338">
        <f>17-7</f>
        <v>10</v>
      </c>
      <c r="I26" s="337" t="s">
        <v>744</v>
      </c>
      <c r="J26" s="336" t="s">
        <v>2122</v>
      </c>
      <c r="K26" s="339">
        <v>40730</v>
      </c>
      <c r="L26" s="339">
        <v>40781</v>
      </c>
      <c r="M26" s="340">
        <f t="shared" si="5"/>
        <v>51</v>
      </c>
      <c r="N26" s="339">
        <v>41147</v>
      </c>
      <c r="O26" s="340">
        <f t="shared" si="6"/>
        <v>366</v>
      </c>
      <c r="P26" s="339">
        <v>41147</v>
      </c>
      <c r="Q26" s="337" t="s">
        <v>1496</v>
      </c>
      <c r="R26" s="341">
        <v>827334.26</v>
      </c>
      <c r="S26" s="341">
        <v>827334.26</v>
      </c>
      <c r="T26" s="341">
        <v>527949.72</v>
      </c>
      <c r="U26" s="342">
        <f>S26-T26</f>
        <v>299384.54000000004</v>
      </c>
      <c r="V26" s="343">
        <f>T26/S26*100</f>
        <v>63.813351570863261</v>
      </c>
      <c r="W26" s="344">
        <v>58.7</v>
      </c>
      <c r="X26" s="337" t="s">
        <v>2303</v>
      </c>
      <c r="Y26" s="337" t="s">
        <v>1496</v>
      </c>
      <c r="Z26" s="463"/>
      <c r="AA26" s="337"/>
      <c r="AB26" s="337"/>
      <c r="AC26" s="345" t="s">
        <v>610</v>
      </c>
      <c r="AD26" s="493"/>
      <c r="AE26" s="344">
        <f t="shared" ca="1" si="7"/>
        <v>285.79234972677597</v>
      </c>
      <c r="AF26" s="339">
        <f t="shared" ca="1" si="8"/>
        <v>41827</v>
      </c>
    </row>
    <row r="27" spans="1:32" s="60" customFormat="1" ht="90" x14ac:dyDescent="0.2">
      <c r="A27" s="483">
        <v>18</v>
      </c>
      <c r="B27" s="494" t="s">
        <v>102</v>
      </c>
      <c r="C27" s="494" t="s">
        <v>101</v>
      </c>
      <c r="D27" s="470" t="s">
        <v>1676</v>
      </c>
      <c r="E27" s="485" t="s">
        <v>1038</v>
      </c>
      <c r="F27" s="470" t="s">
        <v>2330</v>
      </c>
      <c r="G27" s="27" t="s">
        <v>753</v>
      </c>
      <c r="H27" s="33">
        <v>4.5</v>
      </c>
      <c r="I27" s="27" t="s">
        <v>903</v>
      </c>
      <c r="J27" s="470" t="s">
        <v>2122</v>
      </c>
      <c r="K27" s="339">
        <v>40730</v>
      </c>
      <c r="L27" s="42">
        <v>40778</v>
      </c>
      <c r="M27" s="56">
        <f t="shared" si="5"/>
        <v>48</v>
      </c>
      <c r="N27" s="42">
        <v>41144</v>
      </c>
      <c r="O27" s="56">
        <f t="shared" si="6"/>
        <v>442</v>
      </c>
      <c r="P27" s="42">
        <v>41220</v>
      </c>
      <c r="Q27" s="27" t="s">
        <v>654</v>
      </c>
      <c r="R27" s="19">
        <v>1199066.95</v>
      </c>
      <c r="S27" s="19">
        <v>1199066.95</v>
      </c>
      <c r="T27" s="19">
        <v>312651.71999999997</v>
      </c>
      <c r="U27" s="22">
        <f>S27-T27</f>
        <v>886415.23</v>
      </c>
      <c r="V27" s="471">
        <f>T27/S27*100</f>
        <v>26.074584075559748</v>
      </c>
      <c r="W27" s="25">
        <v>35</v>
      </c>
      <c r="X27" s="27" t="s">
        <v>1283</v>
      </c>
      <c r="Y27" s="27" t="s">
        <v>654</v>
      </c>
      <c r="Z27" s="460"/>
      <c r="AA27" s="27"/>
      <c r="AB27" s="27"/>
      <c r="AC27" s="11" t="s">
        <v>1442</v>
      </c>
      <c r="AD27" s="495"/>
      <c r="AE27" s="25">
        <f t="shared" ca="1" si="7"/>
        <v>237.33031674208144</v>
      </c>
      <c r="AF27" s="42">
        <f t="shared" ca="1" si="8"/>
        <v>41827</v>
      </c>
    </row>
    <row r="28" spans="1:32" s="346" customFormat="1" ht="157.5" customHeight="1" x14ac:dyDescent="0.2">
      <c r="A28" s="489">
        <v>19</v>
      </c>
      <c r="B28" s="492" t="s">
        <v>102</v>
      </c>
      <c r="C28" s="492" t="s">
        <v>101</v>
      </c>
      <c r="D28" s="336" t="s">
        <v>1676</v>
      </c>
      <c r="E28" s="491" t="s">
        <v>1800</v>
      </c>
      <c r="F28" s="470" t="s">
        <v>2330</v>
      </c>
      <c r="G28" s="337" t="s">
        <v>1893</v>
      </c>
      <c r="H28" s="338">
        <f>7.5-4.5</f>
        <v>3</v>
      </c>
      <c r="I28" s="337" t="s">
        <v>745</v>
      </c>
      <c r="J28" s="336" t="s">
        <v>2122</v>
      </c>
      <c r="K28" s="339">
        <v>40729</v>
      </c>
      <c r="L28" s="339">
        <v>40781</v>
      </c>
      <c r="M28" s="340">
        <f t="shared" si="5"/>
        <v>52</v>
      </c>
      <c r="N28" s="339">
        <v>41147</v>
      </c>
      <c r="O28" s="340">
        <f t="shared" si="6"/>
        <v>644</v>
      </c>
      <c r="P28" s="339">
        <v>41425</v>
      </c>
      <c r="Q28" s="337" t="s">
        <v>2314</v>
      </c>
      <c r="R28" s="341">
        <v>922627.64</v>
      </c>
      <c r="S28" s="341">
        <v>922627.64</v>
      </c>
      <c r="T28" s="341">
        <v>1224436.98</v>
      </c>
      <c r="U28" s="342">
        <v>0</v>
      </c>
      <c r="V28" s="343">
        <v>158.94999999999999</v>
      </c>
      <c r="W28" s="344">
        <v>100</v>
      </c>
      <c r="X28" s="337" t="s">
        <v>1520</v>
      </c>
      <c r="Y28" s="337" t="s">
        <v>2314</v>
      </c>
      <c r="Z28" s="463"/>
      <c r="AA28" s="337"/>
      <c r="AB28" s="337"/>
      <c r="AC28" s="345" t="s">
        <v>1442</v>
      </c>
      <c r="AD28" s="493"/>
      <c r="AE28" s="344">
        <f t="shared" ca="1" si="7"/>
        <v>162.42236024844721</v>
      </c>
      <c r="AF28" s="339">
        <f t="shared" ca="1" si="8"/>
        <v>41827</v>
      </c>
    </row>
    <row r="29" spans="1:32" s="60" customFormat="1" ht="180" x14ac:dyDescent="0.2">
      <c r="A29" s="483">
        <v>20</v>
      </c>
      <c r="B29" s="494" t="s">
        <v>102</v>
      </c>
      <c r="C29" s="494" t="s">
        <v>101</v>
      </c>
      <c r="D29" s="470" t="s">
        <v>330</v>
      </c>
      <c r="E29" s="485" t="s">
        <v>230</v>
      </c>
      <c r="F29" s="470" t="s">
        <v>2330</v>
      </c>
      <c r="G29" s="27" t="s">
        <v>1945</v>
      </c>
      <c r="H29" s="33">
        <v>5</v>
      </c>
      <c r="I29" s="27" t="s">
        <v>1191</v>
      </c>
      <c r="J29" s="470" t="s">
        <v>2122</v>
      </c>
      <c r="K29" s="42">
        <v>40730</v>
      </c>
      <c r="L29" s="42">
        <v>40764</v>
      </c>
      <c r="M29" s="56">
        <f t="shared" si="5"/>
        <v>34</v>
      </c>
      <c r="N29" s="42">
        <v>41205</v>
      </c>
      <c r="O29" s="56">
        <f t="shared" si="6"/>
        <v>511</v>
      </c>
      <c r="P29" s="42">
        <v>41275</v>
      </c>
      <c r="Q29" s="27" t="s">
        <v>1449</v>
      </c>
      <c r="R29" s="19">
        <v>1449949.11</v>
      </c>
      <c r="S29" s="19">
        <v>1554996.71</v>
      </c>
      <c r="T29" s="19">
        <v>875095.76</v>
      </c>
      <c r="U29" s="22">
        <f>S29-T29</f>
        <v>679900.95</v>
      </c>
      <c r="V29" s="471">
        <f>T29/S29*100</f>
        <v>56.276373729433807</v>
      </c>
      <c r="W29" s="25">
        <v>100</v>
      </c>
      <c r="X29" s="337" t="s">
        <v>1520</v>
      </c>
      <c r="Y29" s="27" t="s">
        <v>2347</v>
      </c>
      <c r="Z29" s="460"/>
      <c r="AA29" s="27"/>
      <c r="AB29" s="27"/>
      <c r="AC29" s="11" t="s">
        <v>1413</v>
      </c>
      <c r="AD29" s="495"/>
      <c r="AE29" s="25">
        <f t="shared" ca="1" si="7"/>
        <v>208.02348336594912</v>
      </c>
      <c r="AF29" s="42">
        <f t="shared" ca="1" si="8"/>
        <v>41827</v>
      </c>
    </row>
    <row r="30" spans="1:32" s="448" customFormat="1" ht="105" x14ac:dyDescent="0.2">
      <c r="A30" s="496">
        <v>21</v>
      </c>
      <c r="B30" s="497" t="s">
        <v>102</v>
      </c>
      <c r="C30" s="497" t="s">
        <v>101</v>
      </c>
      <c r="D30" s="289" t="s">
        <v>330</v>
      </c>
      <c r="E30" s="435" t="s">
        <v>1798</v>
      </c>
      <c r="F30" s="289" t="s">
        <v>2330</v>
      </c>
      <c r="G30" s="436" t="s">
        <v>1946</v>
      </c>
      <c r="H30" s="437">
        <v>5</v>
      </c>
      <c r="I30" s="436" t="s">
        <v>746</v>
      </c>
      <c r="J30" s="289" t="s">
        <v>2122</v>
      </c>
      <c r="K30" s="438">
        <v>40729</v>
      </c>
      <c r="L30" s="438">
        <v>40778</v>
      </c>
      <c r="M30" s="440">
        <f t="shared" si="5"/>
        <v>49</v>
      </c>
      <c r="N30" s="438">
        <v>41205</v>
      </c>
      <c r="O30" s="440">
        <f t="shared" si="6"/>
        <v>427</v>
      </c>
      <c r="P30" s="438">
        <v>41205</v>
      </c>
      <c r="Q30" s="436" t="s">
        <v>1838</v>
      </c>
      <c r="R30" s="290">
        <v>1307389.3</v>
      </c>
      <c r="S30" s="290">
        <v>1307389.3</v>
      </c>
      <c r="T30" s="290">
        <v>161423.66</v>
      </c>
      <c r="U30" s="291">
        <f>S30-T30</f>
        <v>1145965.6400000001</v>
      </c>
      <c r="V30" s="441">
        <f>T30/S30*100</f>
        <v>12.347023185825369</v>
      </c>
      <c r="W30" s="442">
        <v>80</v>
      </c>
      <c r="X30" s="436" t="s">
        <v>1283</v>
      </c>
      <c r="Y30" s="507" t="s">
        <v>2372</v>
      </c>
      <c r="Z30" s="462"/>
      <c r="AA30" s="436"/>
      <c r="AB30" s="436"/>
      <c r="AC30" s="444" t="s">
        <v>1413</v>
      </c>
      <c r="AD30" s="499"/>
      <c r="AE30" s="442">
        <f t="shared" ca="1" si="7"/>
        <v>245.66744730679156</v>
      </c>
      <c r="AF30" s="438">
        <f t="shared" ca="1" si="8"/>
        <v>41827</v>
      </c>
    </row>
    <row r="31" spans="1:32" s="60" customFormat="1" ht="90" x14ac:dyDescent="0.2">
      <c r="A31" s="483">
        <v>22</v>
      </c>
      <c r="B31" s="494" t="s">
        <v>102</v>
      </c>
      <c r="C31" s="494" t="s">
        <v>101</v>
      </c>
      <c r="D31" s="470" t="s">
        <v>656</v>
      </c>
      <c r="E31" s="485" t="s">
        <v>652</v>
      </c>
      <c r="F31" s="470" t="s">
        <v>2330</v>
      </c>
      <c r="G31" s="27" t="s">
        <v>747</v>
      </c>
      <c r="H31" s="33">
        <v>2.5</v>
      </c>
      <c r="I31" s="27" t="s">
        <v>1988</v>
      </c>
      <c r="J31" s="470" t="s">
        <v>2122</v>
      </c>
      <c r="K31" s="42">
        <v>40740</v>
      </c>
      <c r="L31" s="42">
        <v>40828</v>
      </c>
      <c r="M31" s="56">
        <f t="shared" si="5"/>
        <v>88</v>
      </c>
      <c r="N31" s="42">
        <v>41194</v>
      </c>
      <c r="O31" s="56">
        <f t="shared" si="6"/>
        <v>701</v>
      </c>
      <c r="P31" s="42">
        <v>41529</v>
      </c>
      <c r="Q31" s="27" t="s">
        <v>1318</v>
      </c>
      <c r="R31" s="19">
        <v>561716.81999999995</v>
      </c>
      <c r="S31" s="19">
        <v>561716.81999999995</v>
      </c>
      <c r="T31" s="19">
        <v>172178.64</v>
      </c>
      <c r="U31" s="22">
        <f>S31-T31</f>
        <v>389538.17999999993</v>
      </c>
      <c r="V31" s="471">
        <f>T31/S31*100</f>
        <v>30.652213690165098</v>
      </c>
      <c r="W31" s="25">
        <v>50</v>
      </c>
      <c r="X31" s="27" t="s">
        <v>709</v>
      </c>
      <c r="Y31" s="27" t="s">
        <v>1318</v>
      </c>
      <c r="Z31" s="460"/>
      <c r="AA31" s="27"/>
      <c r="AB31" s="27"/>
      <c r="AC31" s="11" t="s">
        <v>683</v>
      </c>
      <c r="AD31" s="495"/>
      <c r="AE31" s="25">
        <f t="shared" ca="1" si="7"/>
        <v>142.51069900142653</v>
      </c>
      <c r="AF31" s="42">
        <f t="shared" ca="1" si="8"/>
        <v>41827</v>
      </c>
    </row>
    <row r="32" spans="1:32" s="60" customFormat="1" ht="90" x14ac:dyDescent="0.2">
      <c r="A32" s="483">
        <v>23</v>
      </c>
      <c r="B32" s="494" t="s">
        <v>102</v>
      </c>
      <c r="C32" s="494" t="s">
        <v>101</v>
      </c>
      <c r="D32" s="470" t="s">
        <v>656</v>
      </c>
      <c r="E32" s="485" t="s">
        <v>1069</v>
      </c>
      <c r="F32" s="470" t="s">
        <v>2330</v>
      </c>
      <c r="G32" s="27" t="s">
        <v>748</v>
      </c>
      <c r="H32" s="33">
        <f>5.5-2.5</f>
        <v>3</v>
      </c>
      <c r="I32" s="27" t="s">
        <v>2120</v>
      </c>
      <c r="J32" s="470" t="s">
        <v>2122</v>
      </c>
      <c r="K32" s="42">
        <v>40730</v>
      </c>
      <c r="L32" s="42">
        <v>40828</v>
      </c>
      <c r="M32" s="56">
        <f t="shared" si="5"/>
        <v>98</v>
      </c>
      <c r="N32" s="42">
        <v>41194</v>
      </c>
      <c r="O32" s="56">
        <f t="shared" si="6"/>
        <v>366</v>
      </c>
      <c r="P32" s="42">
        <v>41194</v>
      </c>
      <c r="Q32" s="27" t="s">
        <v>2348</v>
      </c>
      <c r="R32" s="19">
        <v>776866.57</v>
      </c>
      <c r="S32" s="19">
        <v>776866.57</v>
      </c>
      <c r="T32" s="19">
        <v>345582.52</v>
      </c>
      <c r="U32" s="22">
        <f>S32-T32</f>
        <v>431284.04999999993</v>
      </c>
      <c r="V32" s="471">
        <v>41.45</v>
      </c>
      <c r="W32" s="25">
        <v>55</v>
      </c>
      <c r="X32" s="27" t="s">
        <v>1283</v>
      </c>
      <c r="Y32" s="27" t="s">
        <v>2348</v>
      </c>
      <c r="Z32" s="460"/>
      <c r="AA32" s="27"/>
      <c r="AB32" s="27"/>
      <c r="AC32" s="11" t="s">
        <v>683</v>
      </c>
      <c r="AD32" s="495"/>
      <c r="AE32" s="25">
        <f t="shared" ca="1" si="7"/>
        <v>272.9508196721311</v>
      </c>
      <c r="AF32" s="42">
        <f t="shared" ca="1" si="8"/>
        <v>41827</v>
      </c>
    </row>
    <row r="33" spans="1:32" s="448" customFormat="1" ht="196.5" customHeight="1" x14ac:dyDescent="0.2">
      <c r="A33" s="496">
        <v>24</v>
      </c>
      <c r="B33" s="497" t="s">
        <v>102</v>
      </c>
      <c r="C33" s="497" t="s">
        <v>101</v>
      </c>
      <c r="D33" s="289" t="s">
        <v>1965</v>
      </c>
      <c r="E33" s="498" t="s">
        <v>2130</v>
      </c>
      <c r="F33" s="289" t="s">
        <v>2330</v>
      </c>
      <c r="G33" s="436" t="s">
        <v>2377</v>
      </c>
      <c r="H33" s="437">
        <v>16.2</v>
      </c>
      <c r="I33" s="436" t="s">
        <v>2131</v>
      </c>
      <c r="J33" s="289" t="s">
        <v>2122</v>
      </c>
      <c r="K33" s="438">
        <v>40784</v>
      </c>
      <c r="L33" s="438">
        <v>40858</v>
      </c>
      <c r="M33" s="440">
        <f t="shared" si="5"/>
        <v>74</v>
      </c>
      <c r="N33" s="438">
        <v>41453</v>
      </c>
      <c r="O33" s="440">
        <f t="shared" si="6"/>
        <v>642</v>
      </c>
      <c r="P33" s="438">
        <v>41500</v>
      </c>
      <c r="Q33" s="436" t="s">
        <v>2378</v>
      </c>
      <c r="R33" s="290">
        <v>1764145.8</v>
      </c>
      <c r="S33" s="290">
        <v>7147177.1200000001</v>
      </c>
      <c r="T33" s="290">
        <v>2877685.05</v>
      </c>
      <c r="U33" s="291">
        <v>0</v>
      </c>
      <c r="V33" s="441">
        <v>0</v>
      </c>
      <c r="W33" s="442">
        <v>15</v>
      </c>
      <c r="X33" s="436" t="s">
        <v>1283</v>
      </c>
      <c r="Y33" s="436" t="s">
        <v>2379</v>
      </c>
      <c r="Z33" s="462"/>
      <c r="AA33" s="436"/>
      <c r="AB33" s="436"/>
      <c r="AC33" s="444"/>
      <c r="AD33" s="499"/>
      <c r="AE33" s="442"/>
      <c r="AF33" s="438"/>
    </row>
    <row r="34" spans="1:32" s="60" customFormat="1" ht="105" x14ac:dyDescent="0.2">
      <c r="A34" s="483">
        <v>25</v>
      </c>
      <c r="B34" s="494" t="s">
        <v>102</v>
      </c>
      <c r="C34" s="494" t="s">
        <v>101</v>
      </c>
      <c r="D34" s="470" t="s">
        <v>1676</v>
      </c>
      <c r="E34" s="485" t="s">
        <v>151</v>
      </c>
      <c r="F34" s="470" t="s">
        <v>2330</v>
      </c>
      <c r="G34" s="27" t="s">
        <v>152</v>
      </c>
      <c r="H34" s="33">
        <f>11-7.5</f>
        <v>3.5</v>
      </c>
      <c r="I34" s="27" t="s">
        <v>153</v>
      </c>
      <c r="J34" s="470" t="s">
        <v>2122</v>
      </c>
      <c r="K34" s="42">
        <v>40700</v>
      </c>
      <c r="L34" s="42">
        <v>40849</v>
      </c>
      <c r="M34" s="56">
        <f t="shared" si="5"/>
        <v>149</v>
      </c>
      <c r="N34" s="42">
        <v>41215</v>
      </c>
      <c r="O34" s="56">
        <f t="shared" si="6"/>
        <v>520</v>
      </c>
      <c r="P34" s="42">
        <v>41369</v>
      </c>
      <c r="Q34" s="27" t="s">
        <v>1497</v>
      </c>
      <c r="R34" s="19">
        <v>1172355.5</v>
      </c>
      <c r="S34" s="19">
        <v>1172355.5</v>
      </c>
      <c r="T34" s="19">
        <v>416724.17</v>
      </c>
      <c r="U34" s="22">
        <f t="shared" ref="U34:U63" si="9">S34-T34</f>
        <v>755631.33000000007</v>
      </c>
      <c r="V34" s="471">
        <f>T34/S34*100</f>
        <v>35.545887744800957</v>
      </c>
      <c r="W34" s="25">
        <v>40</v>
      </c>
      <c r="X34" s="27" t="s">
        <v>1283</v>
      </c>
      <c r="Y34" s="27" t="s">
        <v>2349</v>
      </c>
      <c r="Z34" s="460"/>
      <c r="AA34" s="27"/>
      <c r="AB34" s="27"/>
      <c r="AC34" s="11" t="s">
        <v>1956</v>
      </c>
      <c r="AD34" s="495"/>
      <c r="AE34" s="25">
        <f ca="1">(AF34-L34)/O34*100</f>
        <v>188.07692307692307</v>
      </c>
      <c r="AF34" s="42">
        <f t="shared" ca="1" si="8"/>
        <v>41827</v>
      </c>
    </row>
    <row r="35" spans="1:32" s="60" customFormat="1" ht="90" x14ac:dyDescent="0.2">
      <c r="A35" s="483">
        <v>26</v>
      </c>
      <c r="B35" s="494" t="s">
        <v>102</v>
      </c>
      <c r="C35" s="494" t="s">
        <v>101</v>
      </c>
      <c r="D35" s="470" t="s">
        <v>1676</v>
      </c>
      <c r="E35" s="485" t="s">
        <v>2068</v>
      </c>
      <c r="F35" s="470" t="s">
        <v>2330</v>
      </c>
      <c r="G35" s="27" t="s">
        <v>152</v>
      </c>
      <c r="H35" s="33">
        <f>15-11</f>
        <v>4</v>
      </c>
      <c r="I35" s="27" t="s">
        <v>225</v>
      </c>
      <c r="J35" s="470" t="s">
        <v>2122</v>
      </c>
      <c r="K35" s="42">
        <v>40779</v>
      </c>
      <c r="L35" s="42">
        <v>40876</v>
      </c>
      <c r="M35" s="56">
        <f t="shared" si="5"/>
        <v>97</v>
      </c>
      <c r="N35" s="42">
        <v>41242</v>
      </c>
      <c r="O35" s="56">
        <f t="shared" si="6"/>
        <v>366</v>
      </c>
      <c r="P35" s="42">
        <v>41242</v>
      </c>
      <c r="Q35" s="27" t="s">
        <v>19</v>
      </c>
      <c r="R35" s="19">
        <v>1221576.08</v>
      </c>
      <c r="S35" s="19">
        <v>1221576.08</v>
      </c>
      <c r="T35" s="19">
        <v>121537.26</v>
      </c>
      <c r="U35" s="22">
        <f t="shared" si="9"/>
        <v>1100038.82</v>
      </c>
      <c r="V35" s="471">
        <v>11.4</v>
      </c>
      <c r="W35" s="25">
        <v>20</v>
      </c>
      <c r="X35" s="27" t="s">
        <v>1283</v>
      </c>
      <c r="Y35" s="27" t="s">
        <v>2350</v>
      </c>
      <c r="Z35" s="460"/>
      <c r="AA35" s="27"/>
      <c r="AB35" s="27"/>
      <c r="AC35" s="11" t="s">
        <v>1442</v>
      </c>
      <c r="AD35" s="495"/>
      <c r="AE35" s="25">
        <f ca="1">(AF35-L35)/O35*100</f>
        <v>259.8360655737705</v>
      </c>
      <c r="AF35" s="42">
        <f t="shared" ca="1" si="8"/>
        <v>41827</v>
      </c>
    </row>
    <row r="36" spans="1:32" s="60" customFormat="1" ht="45" x14ac:dyDescent="0.2">
      <c r="A36" s="483">
        <v>27</v>
      </c>
      <c r="B36" s="494" t="s">
        <v>102</v>
      </c>
      <c r="C36" s="494" t="s">
        <v>101</v>
      </c>
      <c r="D36" s="470" t="s">
        <v>1949</v>
      </c>
      <c r="E36" s="485" t="s">
        <v>2069</v>
      </c>
      <c r="F36" s="470" t="s">
        <v>2330</v>
      </c>
      <c r="G36" s="27" t="s">
        <v>2070</v>
      </c>
      <c r="H36" s="33">
        <v>20</v>
      </c>
      <c r="I36" s="27" t="s">
        <v>2071</v>
      </c>
      <c r="J36" s="470" t="s">
        <v>2122</v>
      </c>
      <c r="K36" s="42">
        <v>40779</v>
      </c>
      <c r="L36" s="42">
        <v>40883</v>
      </c>
      <c r="M36" s="56">
        <f t="shared" si="5"/>
        <v>104</v>
      </c>
      <c r="N36" s="42">
        <v>41431</v>
      </c>
      <c r="O36" s="56">
        <f t="shared" si="6"/>
        <v>548</v>
      </c>
      <c r="P36" s="42">
        <v>41431</v>
      </c>
      <c r="Q36" s="27" t="s">
        <v>1156</v>
      </c>
      <c r="R36" s="19">
        <v>4989270.16</v>
      </c>
      <c r="S36" s="19">
        <v>4989270.16</v>
      </c>
      <c r="T36" s="19">
        <v>314101.98</v>
      </c>
      <c r="U36" s="22">
        <f t="shared" si="9"/>
        <v>4675168.18</v>
      </c>
      <c r="V36" s="471">
        <f>T36/S36*100</f>
        <v>6.2955496480872064</v>
      </c>
      <c r="W36" s="25">
        <v>30</v>
      </c>
      <c r="X36" s="27" t="s">
        <v>1283</v>
      </c>
      <c r="Y36" s="487" t="s">
        <v>897</v>
      </c>
      <c r="Z36" s="460"/>
      <c r="AA36" s="27"/>
      <c r="AB36" s="27"/>
      <c r="AC36" s="11" t="s">
        <v>1442</v>
      </c>
      <c r="AD36" s="495"/>
      <c r="AE36" s="25">
        <f t="shared" ref="AE36:AE63" ca="1" si="10">(AF36-L36)/O36*100</f>
        <v>172.26277372262771</v>
      </c>
      <c r="AF36" s="42">
        <f t="shared" ca="1" si="8"/>
        <v>41827</v>
      </c>
    </row>
    <row r="37" spans="1:32" s="60" customFormat="1" ht="105" x14ac:dyDescent="0.2">
      <c r="A37" s="483">
        <v>28</v>
      </c>
      <c r="B37" s="494" t="s">
        <v>102</v>
      </c>
      <c r="C37" s="494" t="s">
        <v>101</v>
      </c>
      <c r="D37" s="470" t="s">
        <v>656</v>
      </c>
      <c r="E37" s="485" t="s">
        <v>787</v>
      </c>
      <c r="F37" s="470" t="s">
        <v>2330</v>
      </c>
      <c r="G37" s="27" t="s">
        <v>785</v>
      </c>
      <c r="H37" s="33">
        <f>11-5.5</f>
        <v>5.5</v>
      </c>
      <c r="I37" s="27" t="s">
        <v>786</v>
      </c>
      <c r="J37" s="470" t="s">
        <v>2122</v>
      </c>
      <c r="K37" s="42">
        <v>40784</v>
      </c>
      <c r="L37" s="42">
        <v>40844</v>
      </c>
      <c r="M37" s="56">
        <f t="shared" si="5"/>
        <v>60</v>
      </c>
      <c r="N37" s="42">
        <v>41302</v>
      </c>
      <c r="O37" s="56">
        <f t="shared" si="6"/>
        <v>504</v>
      </c>
      <c r="P37" s="42">
        <v>41348</v>
      </c>
      <c r="Q37" s="27" t="s">
        <v>231</v>
      </c>
      <c r="R37" s="19">
        <v>1396431.2</v>
      </c>
      <c r="S37" s="19">
        <v>1396431.2</v>
      </c>
      <c r="T37" s="19">
        <v>313255.17</v>
      </c>
      <c r="U37" s="22">
        <f t="shared" si="9"/>
        <v>1083176.03</v>
      </c>
      <c r="V37" s="471">
        <f>T37/S37*100</f>
        <v>22.432553068135398</v>
      </c>
      <c r="W37" s="25">
        <v>40</v>
      </c>
      <c r="X37" s="27" t="s">
        <v>1283</v>
      </c>
      <c r="Y37" s="488" t="s">
        <v>2351</v>
      </c>
      <c r="Z37" s="460"/>
      <c r="AA37" s="27"/>
      <c r="AB37" s="27"/>
      <c r="AC37" s="11" t="s">
        <v>1412</v>
      </c>
      <c r="AD37" s="495"/>
      <c r="AE37" s="25">
        <f t="shared" ca="1" si="10"/>
        <v>195.03968253968253</v>
      </c>
      <c r="AF37" s="42">
        <f t="shared" ca="1" si="8"/>
        <v>41827</v>
      </c>
    </row>
    <row r="38" spans="1:32" s="346" customFormat="1" ht="45" x14ac:dyDescent="0.2">
      <c r="A38" s="489">
        <v>29</v>
      </c>
      <c r="B38" s="492" t="s">
        <v>102</v>
      </c>
      <c r="C38" s="492" t="s">
        <v>101</v>
      </c>
      <c r="D38" s="336" t="s">
        <v>1521</v>
      </c>
      <c r="E38" s="491" t="s">
        <v>789</v>
      </c>
      <c r="F38" s="336" t="s">
        <v>2330</v>
      </c>
      <c r="G38" s="337" t="s">
        <v>788</v>
      </c>
      <c r="H38" s="338">
        <v>3.8</v>
      </c>
      <c r="I38" s="337" t="s">
        <v>790</v>
      </c>
      <c r="J38" s="336" t="s">
        <v>2122</v>
      </c>
      <c r="K38" s="339">
        <v>40779</v>
      </c>
      <c r="L38" s="339">
        <v>40882</v>
      </c>
      <c r="M38" s="340">
        <f t="shared" si="5"/>
        <v>103</v>
      </c>
      <c r="N38" s="339">
        <v>41338</v>
      </c>
      <c r="O38" s="340">
        <f t="shared" si="6"/>
        <v>456</v>
      </c>
      <c r="P38" s="339">
        <v>41338</v>
      </c>
      <c r="Q38" s="337" t="s">
        <v>894</v>
      </c>
      <c r="R38" s="341">
        <v>1396431.2</v>
      </c>
      <c r="S38" s="341">
        <v>1396431.2</v>
      </c>
      <c r="T38" s="341"/>
      <c r="U38" s="342">
        <f t="shared" si="9"/>
        <v>1396431.2</v>
      </c>
      <c r="V38" s="343"/>
      <c r="W38" s="344">
        <v>35</v>
      </c>
      <c r="X38" s="337" t="s">
        <v>1835</v>
      </c>
      <c r="Y38" s="337" t="s">
        <v>894</v>
      </c>
      <c r="Z38" s="463"/>
      <c r="AA38" s="337"/>
      <c r="AB38" s="337"/>
      <c r="AC38" s="345" t="s">
        <v>683</v>
      </c>
      <c r="AD38" s="493"/>
      <c r="AE38" s="344">
        <f t="shared" ca="1" si="10"/>
        <v>207.23684210526315</v>
      </c>
      <c r="AF38" s="339">
        <f t="shared" ca="1" si="8"/>
        <v>41827</v>
      </c>
    </row>
    <row r="39" spans="1:32" s="60" customFormat="1" ht="120" x14ac:dyDescent="0.2">
      <c r="A39" s="489">
        <v>30</v>
      </c>
      <c r="B39" s="492" t="s">
        <v>102</v>
      </c>
      <c r="C39" s="492" t="s">
        <v>101</v>
      </c>
      <c r="D39" s="336" t="s">
        <v>1500</v>
      </c>
      <c r="E39" s="491" t="s">
        <v>1050</v>
      </c>
      <c r="F39" s="470" t="s">
        <v>2330</v>
      </c>
      <c r="G39" s="337" t="s">
        <v>791</v>
      </c>
      <c r="H39" s="338">
        <v>6.25</v>
      </c>
      <c r="I39" s="337" t="s">
        <v>1900</v>
      </c>
      <c r="J39" s="336" t="s">
        <v>2122</v>
      </c>
      <c r="K39" s="339">
        <v>40784</v>
      </c>
      <c r="L39" s="339">
        <v>40848</v>
      </c>
      <c r="M39" s="340">
        <f t="shared" si="5"/>
        <v>64</v>
      </c>
      <c r="N39" s="339">
        <v>41306</v>
      </c>
      <c r="O39" s="340">
        <f t="shared" si="6"/>
        <v>458</v>
      </c>
      <c r="P39" s="339">
        <v>41306</v>
      </c>
      <c r="Q39" s="337" t="s">
        <v>2277</v>
      </c>
      <c r="R39" s="341">
        <v>1422405.26</v>
      </c>
      <c r="S39" s="341">
        <v>1422405.26</v>
      </c>
      <c r="T39" s="341">
        <v>290309.40000000002</v>
      </c>
      <c r="U39" s="342">
        <f t="shared" si="9"/>
        <v>1132095.8599999999</v>
      </c>
      <c r="V39" s="343">
        <v>24.58</v>
      </c>
      <c r="W39" s="344">
        <v>30</v>
      </c>
      <c r="X39" s="337" t="s">
        <v>772</v>
      </c>
      <c r="Y39" s="337" t="s">
        <v>2277</v>
      </c>
      <c r="Z39" s="460"/>
      <c r="AA39" s="27"/>
      <c r="AB39" s="27"/>
      <c r="AC39" s="11" t="s">
        <v>1190</v>
      </c>
      <c r="AD39" s="495"/>
      <c r="AE39" s="25">
        <f t="shared" ca="1" si="10"/>
        <v>213.75545851528383</v>
      </c>
      <c r="AF39" s="42">
        <f t="shared" ca="1" si="8"/>
        <v>41827</v>
      </c>
    </row>
    <row r="40" spans="1:32" s="346" customFormat="1" ht="45" x14ac:dyDescent="0.2">
      <c r="A40" s="489">
        <v>31</v>
      </c>
      <c r="B40" s="492" t="s">
        <v>102</v>
      </c>
      <c r="C40" s="492" t="s">
        <v>101</v>
      </c>
      <c r="D40" s="336" t="s">
        <v>1527</v>
      </c>
      <c r="E40" s="491" t="s">
        <v>2209</v>
      </c>
      <c r="F40" s="470" t="s">
        <v>2333</v>
      </c>
      <c r="G40" s="337" t="s">
        <v>2210</v>
      </c>
      <c r="H40" s="338">
        <v>4</v>
      </c>
      <c r="I40" s="337" t="s">
        <v>2211</v>
      </c>
      <c r="J40" s="336" t="s">
        <v>2122</v>
      </c>
      <c r="K40" s="339">
        <v>41129</v>
      </c>
      <c r="L40" s="339">
        <v>41191</v>
      </c>
      <c r="M40" s="340">
        <f t="shared" si="5"/>
        <v>62</v>
      </c>
      <c r="N40" s="339">
        <v>41556</v>
      </c>
      <c r="O40" s="340">
        <f t="shared" si="6"/>
        <v>365</v>
      </c>
      <c r="P40" s="339">
        <v>41556</v>
      </c>
      <c r="Q40" s="337" t="s">
        <v>2305</v>
      </c>
      <c r="R40" s="341">
        <v>200182.3</v>
      </c>
      <c r="S40" s="341">
        <v>200182.3</v>
      </c>
      <c r="T40" s="341">
        <v>78646.39</v>
      </c>
      <c r="U40" s="342">
        <f t="shared" si="9"/>
        <v>121535.90999999999</v>
      </c>
      <c r="V40" s="343">
        <v>44.83</v>
      </c>
      <c r="W40" s="344">
        <v>60</v>
      </c>
      <c r="X40" s="337" t="s">
        <v>1283</v>
      </c>
      <c r="Y40" s="337" t="s">
        <v>2305</v>
      </c>
      <c r="Z40" s="463"/>
      <c r="AA40" s="337"/>
      <c r="AB40" s="337"/>
      <c r="AC40" s="345" t="s">
        <v>1414</v>
      </c>
      <c r="AD40" s="493"/>
      <c r="AE40" s="344">
        <f t="shared" ca="1" si="10"/>
        <v>174.24657534246575</v>
      </c>
      <c r="AF40" s="339">
        <f t="shared" ca="1" si="8"/>
        <v>41827</v>
      </c>
    </row>
    <row r="41" spans="1:32" s="346" customFormat="1" ht="60.75" customHeight="1" x14ac:dyDescent="0.2">
      <c r="A41" s="483">
        <v>32</v>
      </c>
      <c r="B41" s="494" t="s">
        <v>102</v>
      </c>
      <c r="C41" s="494" t="s">
        <v>101</v>
      </c>
      <c r="D41" s="470" t="s">
        <v>1527</v>
      </c>
      <c r="E41" s="485" t="s">
        <v>2173</v>
      </c>
      <c r="F41" s="470" t="s">
        <v>2333</v>
      </c>
      <c r="G41" s="27" t="s">
        <v>863</v>
      </c>
      <c r="H41" s="33">
        <v>3.5</v>
      </c>
      <c r="I41" s="27" t="s">
        <v>1561</v>
      </c>
      <c r="J41" s="470" t="s">
        <v>2122</v>
      </c>
      <c r="K41" s="42">
        <v>41065</v>
      </c>
      <c r="L41" s="42">
        <v>41192</v>
      </c>
      <c r="M41" s="56">
        <f t="shared" si="5"/>
        <v>127</v>
      </c>
      <c r="N41" s="42">
        <v>41557</v>
      </c>
      <c r="O41" s="56">
        <f t="shared" si="6"/>
        <v>365</v>
      </c>
      <c r="P41" s="42">
        <v>41557</v>
      </c>
      <c r="Q41" s="27" t="s">
        <v>300</v>
      </c>
      <c r="R41" s="19">
        <v>215574.42</v>
      </c>
      <c r="S41" s="19">
        <v>215574.42</v>
      </c>
      <c r="T41" s="19">
        <v>79077.25</v>
      </c>
      <c r="U41" s="22">
        <f t="shared" si="9"/>
        <v>136497.17000000001</v>
      </c>
      <c r="V41" s="471">
        <v>41.34</v>
      </c>
      <c r="W41" s="25">
        <v>50</v>
      </c>
      <c r="X41" s="27" t="s">
        <v>1283</v>
      </c>
      <c r="Y41" s="487" t="s">
        <v>2352</v>
      </c>
      <c r="Z41" s="463"/>
      <c r="AA41" s="337"/>
      <c r="AB41" s="337"/>
      <c r="AC41" s="345" t="s">
        <v>2223</v>
      </c>
      <c r="AD41" s="493"/>
      <c r="AE41" s="344">
        <f t="shared" ca="1" si="10"/>
        <v>173.97260273972603</v>
      </c>
      <c r="AF41" s="339">
        <f t="shared" ca="1" si="8"/>
        <v>41827</v>
      </c>
    </row>
    <row r="42" spans="1:32" s="60" customFormat="1" ht="45" x14ac:dyDescent="0.2">
      <c r="A42" s="483">
        <v>33</v>
      </c>
      <c r="B42" s="494" t="s">
        <v>102</v>
      </c>
      <c r="C42" s="494" t="s">
        <v>101</v>
      </c>
      <c r="D42" s="470" t="s">
        <v>1527</v>
      </c>
      <c r="E42" s="485" t="s">
        <v>864</v>
      </c>
      <c r="F42" s="470" t="s">
        <v>2333</v>
      </c>
      <c r="G42" s="27" t="s">
        <v>1617</v>
      </c>
      <c r="H42" s="33">
        <v>4</v>
      </c>
      <c r="I42" s="27" t="s">
        <v>1618</v>
      </c>
      <c r="J42" s="470" t="s">
        <v>2122</v>
      </c>
      <c r="K42" s="42">
        <v>41065</v>
      </c>
      <c r="L42" s="42">
        <v>41262</v>
      </c>
      <c r="M42" s="56">
        <f t="shared" si="5"/>
        <v>197</v>
      </c>
      <c r="N42" s="42">
        <v>41627</v>
      </c>
      <c r="O42" s="56">
        <f t="shared" si="6"/>
        <v>365</v>
      </c>
      <c r="P42" s="42">
        <v>41627</v>
      </c>
      <c r="Q42" s="27" t="s">
        <v>392</v>
      </c>
      <c r="R42" s="19">
        <v>162004.15</v>
      </c>
      <c r="S42" s="19">
        <v>162004.15</v>
      </c>
      <c r="T42" s="19"/>
      <c r="U42" s="22">
        <f t="shared" si="9"/>
        <v>162004.15</v>
      </c>
      <c r="V42" s="471">
        <f t="shared" ref="V42:V52" si="11">T42/S42*100</f>
        <v>0</v>
      </c>
      <c r="W42" s="25">
        <v>35</v>
      </c>
      <c r="X42" s="27" t="s">
        <v>1283</v>
      </c>
      <c r="Y42" s="27" t="s">
        <v>392</v>
      </c>
      <c r="Z42" s="460"/>
      <c r="AA42" s="27"/>
      <c r="AB42" s="27"/>
      <c r="AC42" s="11" t="s">
        <v>2019</v>
      </c>
      <c r="AD42" s="495"/>
      <c r="AE42" s="25">
        <f t="shared" ca="1" si="10"/>
        <v>154.79452054794521</v>
      </c>
      <c r="AF42" s="42">
        <f t="shared" ca="1" si="8"/>
        <v>41827</v>
      </c>
    </row>
    <row r="43" spans="1:32" s="60" customFormat="1" ht="30" x14ac:dyDescent="0.2">
      <c r="A43" s="483">
        <v>34</v>
      </c>
      <c r="B43" s="494" t="s">
        <v>102</v>
      </c>
      <c r="C43" s="494" t="s">
        <v>101</v>
      </c>
      <c r="D43" s="470" t="s">
        <v>329</v>
      </c>
      <c r="E43" s="485" t="s">
        <v>358</v>
      </c>
      <c r="F43" s="470" t="s">
        <v>2333</v>
      </c>
      <c r="G43" s="27" t="s">
        <v>1952</v>
      </c>
      <c r="H43" s="33">
        <v>3</v>
      </c>
      <c r="I43" s="27" t="s">
        <v>359</v>
      </c>
      <c r="J43" s="470" t="s">
        <v>2122</v>
      </c>
      <c r="K43" s="42">
        <v>41065</v>
      </c>
      <c r="L43" s="42">
        <v>41239</v>
      </c>
      <c r="M43" s="56">
        <f t="shared" si="5"/>
        <v>174</v>
      </c>
      <c r="N43" s="42">
        <v>41604</v>
      </c>
      <c r="O43" s="56">
        <f t="shared" si="6"/>
        <v>365</v>
      </c>
      <c r="P43" s="42">
        <v>41604</v>
      </c>
      <c r="Q43" s="27" t="s">
        <v>926</v>
      </c>
      <c r="R43" s="19">
        <v>196278.23</v>
      </c>
      <c r="S43" s="19">
        <v>196278.23</v>
      </c>
      <c r="T43" s="19"/>
      <c r="U43" s="22">
        <f t="shared" si="9"/>
        <v>196278.23</v>
      </c>
      <c r="V43" s="471">
        <f t="shared" si="11"/>
        <v>0</v>
      </c>
      <c r="W43" s="25">
        <v>50</v>
      </c>
      <c r="X43" s="27" t="s">
        <v>1283</v>
      </c>
      <c r="Y43" s="27" t="s">
        <v>926</v>
      </c>
      <c r="Z43" s="460"/>
      <c r="AA43" s="27"/>
      <c r="AB43" s="27"/>
      <c r="AC43" s="11" t="s">
        <v>1100</v>
      </c>
      <c r="AD43" s="495"/>
      <c r="AE43" s="25">
        <f t="shared" ca="1" si="10"/>
        <v>161.0958904109589</v>
      </c>
      <c r="AF43" s="42">
        <f t="shared" ca="1" si="8"/>
        <v>41827</v>
      </c>
    </row>
    <row r="44" spans="1:32" s="60" customFormat="1" ht="30" x14ac:dyDescent="0.2">
      <c r="A44" s="483">
        <v>35</v>
      </c>
      <c r="B44" s="494" t="s">
        <v>102</v>
      </c>
      <c r="C44" s="494" t="s">
        <v>101</v>
      </c>
      <c r="D44" s="470" t="s">
        <v>1965</v>
      </c>
      <c r="E44" s="485" t="s">
        <v>355</v>
      </c>
      <c r="F44" s="470" t="s">
        <v>2333</v>
      </c>
      <c r="G44" s="27" t="s">
        <v>356</v>
      </c>
      <c r="H44" s="33">
        <v>5</v>
      </c>
      <c r="I44" s="27" t="s">
        <v>357</v>
      </c>
      <c r="J44" s="470" t="s">
        <v>2122</v>
      </c>
      <c r="K44" s="42">
        <v>41065</v>
      </c>
      <c r="L44" s="42">
        <v>41215</v>
      </c>
      <c r="M44" s="56">
        <f t="shared" si="5"/>
        <v>150</v>
      </c>
      <c r="N44" s="42">
        <v>41580</v>
      </c>
      <c r="O44" s="56">
        <f t="shared" si="6"/>
        <v>365</v>
      </c>
      <c r="P44" s="42">
        <v>41580</v>
      </c>
      <c r="Q44" s="27"/>
      <c r="R44" s="19">
        <v>263003.59999999998</v>
      </c>
      <c r="S44" s="19">
        <v>263003.59999999998</v>
      </c>
      <c r="T44" s="19"/>
      <c r="U44" s="22">
        <f t="shared" si="9"/>
        <v>263003.59999999998</v>
      </c>
      <c r="V44" s="471">
        <f t="shared" si="11"/>
        <v>0</v>
      </c>
      <c r="W44" s="25"/>
      <c r="X44" s="27" t="s">
        <v>681</v>
      </c>
      <c r="Y44" s="488"/>
      <c r="Z44" s="460"/>
      <c r="AA44" s="27"/>
      <c r="AB44" s="27"/>
      <c r="AC44" s="11" t="s">
        <v>2023</v>
      </c>
      <c r="AD44" s="495"/>
      <c r="AE44" s="25">
        <f t="shared" ca="1" si="10"/>
        <v>167.67123287671234</v>
      </c>
      <c r="AF44" s="42">
        <f t="shared" ca="1" si="8"/>
        <v>41827</v>
      </c>
    </row>
    <row r="45" spans="1:32" s="60" customFormat="1" ht="60" x14ac:dyDescent="0.2">
      <c r="A45" s="489">
        <v>36</v>
      </c>
      <c r="B45" s="492" t="s">
        <v>102</v>
      </c>
      <c r="C45" s="492" t="s">
        <v>101</v>
      </c>
      <c r="D45" s="336" t="s">
        <v>1965</v>
      </c>
      <c r="E45" s="491" t="s">
        <v>1619</v>
      </c>
      <c r="F45" s="470" t="s">
        <v>2333</v>
      </c>
      <c r="G45" s="337" t="s">
        <v>1620</v>
      </c>
      <c r="H45" s="338">
        <v>4</v>
      </c>
      <c r="I45" s="337" t="s">
        <v>1621</v>
      </c>
      <c r="J45" s="336" t="s">
        <v>2122</v>
      </c>
      <c r="K45" s="339">
        <v>41129</v>
      </c>
      <c r="L45" s="339">
        <v>41193</v>
      </c>
      <c r="M45" s="340">
        <f t="shared" si="5"/>
        <v>64</v>
      </c>
      <c r="N45" s="339">
        <v>41558</v>
      </c>
      <c r="O45" s="340">
        <f t="shared" si="6"/>
        <v>365</v>
      </c>
      <c r="P45" s="339">
        <v>41558</v>
      </c>
      <c r="Q45" s="337" t="s">
        <v>2313</v>
      </c>
      <c r="R45" s="341">
        <v>208432.12</v>
      </c>
      <c r="S45" s="341">
        <v>208432.12</v>
      </c>
      <c r="T45" s="341">
        <v>63073.4</v>
      </c>
      <c r="U45" s="342">
        <f t="shared" si="9"/>
        <v>145358.72</v>
      </c>
      <c r="V45" s="343">
        <f t="shared" si="11"/>
        <v>30.260883015535228</v>
      </c>
      <c r="W45" s="344">
        <v>29.07</v>
      </c>
      <c r="X45" s="337" t="s">
        <v>1283</v>
      </c>
      <c r="Y45" s="488" t="s">
        <v>2353</v>
      </c>
      <c r="Z45" s="460"/>
      <c r="AA45" s="27"/>
      <c r="AB45" s="27"/>
      <c r="AC45" s="11" t="s">
        <v>1912</v>
      </c>
      <c r="AD45" s="495"/>
      <c r="AE45" s="25">
        <f t="shared" ca="1" si="10"/>
        <v>173.69863013698631</v>
      </c>
      <c r="AF45" s="42">
        <f t="shared" ca="1" si="8"/>
        <v>41827</v>
      </c>
    </row>
    <row r="46" spans="1:32" s="346" customFormat="1" ht="45" x14ac:dyDescent="0.2">
      <c r="A46" s="483">
        <v>37</v>
      </c>
      <c r="B46" s="494" t="s">
        <v>102</v>
      </c>
      <c r="C46" s="494" t="s">
        <v>101</v>
      </c>
      <c r="D46" s="470" t="s">
        <v>656</v>
      </c>
      <c r="E46" s="485" t="s">
        <v>859</v>
      </c>
      <c r="F46" s="470" t="s">
        <v>2334</v>
      </c>
      <c r="G46" s="27" t="s">
        <v>360</v>
      </c>
      <c r="H46" s="33">
        <v>3</v>
      </c>
      <c r="I46" s="27" t="s">
        <v>361</v>
      </c>
      <c r="J46" s="470" t="s">
        <v>2122</v>
      </c>
      <c r="K46" s="339">
        <v>41129</v>
      </c>
      <c r="L46" s="42">
        <v>41226</v>
      </c>
      <c r="M46" s="56">
        <f t="shared" si="5"/>
        <v>97</v>
      </c>
      <c r="N46" s="42">
        <v>41590</v>
      </c>
      <c r="O46" s="56">
        <f t="shared" si="6"/>
        <v>358</v>
      </c>
      <c r="P46" s="42">
        <v>41584</v>
      </c>
      <c r="Q46" s="27" t="s">
        <v>2260</v>
      </c>
      <c r="R46" s="19">
        <v>482930.23</v>
      </c>
      <c r="S46" s="19">
        <v>482930.23</v>
      </c>
      <c r="T46" s="19">
        <v>157809.38</v>
      </c>
      <c r="U46" s="22">
        <f t="shared" si="9"/>
        <v>325120.84999999998</v>
      </c>
      <c r="V46" s="471">
        <f t="shared" si="11"/>
        <v>32.677469786888267</v>
      </c>
      <c r="W46" s="25">
        <v>40</v>
      </c>
      <c r="X46" s="27" t="s">
        <v>1283</v>
      </c>
      <c r="Y46" s="27" t="s">
        <v>2260</v>
      </c>
      <c r="Z46" s="463"/>
      <c r="AA46" s="337"/>
      <c r="AB46" s="337"/>
      <c r="AC46" s="345" t="s">
        <v>348</v>
      </c>
      <c r="AD46" s="493"/>
      <c r="AE46" s="344">
        <f t="shared" ca="1" si="10"/>
        <v>167.87709497206706</v>
      </c>
      <c r="AF46" s="339">
        <f t="shared" ca="1" si="8"/>
        <v>41827</v>
      </c>
    </row>
    <row r="47" spans="1:32" s="60" customFormat="1" ht="90" x14ac:dyDescent="0.2">
      <c r="A47" s="483">
        <v>38</v>
      </c>
      <c r="B47" s="494" t="s">
        <v>102</v>
      </c>
      <c r="C47" s="494" t="s">
        <v>101</v>
      </c>
      <c r="D47" s="470" t="s">
        <v>656</v>
      </c>
      <c r="E47" s="485" t="s">
        <v>627</v>
      </c>
      <c r="F47" s="470" t="s">
        <v>2333</v>
      </c>
      <c r="G47" s="27" t="s">
        <v>629</v>
      </c>
      <c r="H47" s="33">
        <v>3.5</v>
      </c>
      <c r="I47" s="27" t="s">
        <v>630</v>
      </c>
      <c r="J47" s="470" t="s">
        <v>2122</v>
      </c>
      <c r="K47" s="42">
        <v>41098</v>
      </c>
      <c r="L47" s="42">
        <v>41179</v>
      </c>
      <c r="M47" s="56">
        <f t="shared" si="5"/>
        <v>81</v>
      </c>
      <c r="N47" s="42">
        <v>41544</v>
      </c>
      <c r="O47" s="56">
        <f t="shared" si="6"/>
        <v>365</v>
      </c>
      <c r="P47" s="42">
        <v>41544</v>
      </c>
      <c r="Q47" s="27" t="s">
        <v>1495</v>
      </c>
      <c r="R47" s="19">
        <v>224738.08</v>
      </c>
      <c r="S47" s="19">
        <v>224738.08</v>
      </c>
      <c r="T47" s="19">
        <v>170052.7</v>
      </c>
      <c r="U47" s="22">
        <f t="shared" si="9"/>
        <v>54685.379999999976</v>
      </c>
      <c r="V47" s="471">
        <f t="shared" si="11"/>
        <v>75.667060962699338</v>
      </c>
      <c r="W47" s="25">
        <v>73</v>
      </c>
      <c r="X47" s="27" t="s">
        <v>1283</v>
      </c>
      <c r="Y47" s="487" t="s">
        <v>2354</v>
      </c>
      <c r="Z47" s="460"/>
      <c r="AA47" s="27"/>
      <c r="AB47" s="27"/>
      <c r="AC47" s="11" t="s">
        <v>1912</v>
      </c>
      <c r="AD47" s="495"/>
      <c r="AE47" s="25">
        <f t="shared" ca="1" si="10"/>
        <v>177.53424657534248</v>
      </c>
      <c r="AF47" s="42">
        <f t="shared" ca="1" si="8"/>
        <v>41827</v>
      </c>
    </row>
    <row r="48" spans="1:32" s="346" customFormat="1" ht="60" x14ac:dyDescent="0.2">
      <c r="A48" s="489">
        <v>39</v>
      </c>
      <c r="B48" s="492" t="s">
        <v>102</v>
      </c>
      <c r="C48" s="492" t="s">
        <v>101</v>
      </c>
      <c r="D48" s="336" t="s">
        <v>332</v>
      </c>
      <c r="E48" s="491" t="s">
        <v>861</v>
      </c>
      <c r="F48" s="336" t="s">
        <v>2333</v>
      </c>
      <c r="G48" s="337" t="s">
        <v>862</v>
      </c>
      <c r="H48" s="338">
        <v>5</v>
      </c>
      <c r="I48" s="337" t="s">
        <v>1570</v>
      </c>
      <c r="J48" s="336" t="s">
        <v>2122</v>
      </c>
      <c r="K48" s="339">
        <v>41065</v>
      </c>
      <c r="L48" s="339">
        <v>41200</v>
      </c>
      <c r="M48" s="340">
        <f t="shared" si="5"/>
        <v>135</v>
      </c>
      <c r="N48" s="339">
        <v>41565</v>
      </c>
      <c r="O48" s="340">
        <f t="shared" si="6"/>
        <v>365</v>
      </c>
      <c r="P48" s="339">
        <v>41565</v>
      </c>
      <c r="Q48" s="337" t="s">
        <v>1052</v>
      </c>
      <c r="R48" s="341">
        <v>218000</v>
      </c>
      <c r="S48" s="341">
        <v>218000</v>
      </c>
      <c r="T48" s="341"/>
      <c r="U48" s="342">
        <f t="shared" si="9"/>
        <v>218000</v>
      </c>
      <c r="V48" s="343">
        <f t="shared" si="11"/>
        <v>0</v>
      </c>
      <c r="W48" s="344">
        <v>50</v>
      </c>
      <c r="X48" s="337" t="s">
        <v>1283</v>
      </c>
      <c r="Y48" s="337" t="s">
        <v>2355</v>
      </c>
      <c r="Z48" s="463"/>
      <c r="AA48" s="337"/>
      <c r="AB48" s="337"/>
      <c r="AC48" s="345" t="s">
        <v>899</v>
      </c>
      <c r="AD48" s="493"/>
      <c r="AE48" s="344">
        <f t="shared" ca="1" si="10"/>
        <v>171.78082191780823</v>
      </c>
      <c r="AF48" s="339">
        <f t="shared" ca="1" si="8"/>
        <v>41827</v>
      </c>
    </row>
    <row r="49" spans="1:32" s="60" customFormat="1" ht="51" x14ac:dyDescent="0.2">
      <c r="A49" s="489">
        <v>40</v>
      </c>
      <c r="B49" s="492" t="s">
        <v>102</v>
      </c>
      <c r="C49" s="492" t="s">
        <v>101</v>
      </c>
      <c r="D49" s="336" t="s">
        <v>329</v>
      </c>
      <c r="E49" s="491" t="s">
        <v>900</v>
      </c>
      <c r="F49" s="470" t="s">
        <v>2333</v>
      </c>
      <c r="G49" s="337" t="s">
        <v>65</v>
      </c>
      <c r="H49" s="338">
        <v>4.7</v>
      </c>
      <c r="I49" s="337" t="s">
        <v>1902</v>
      </c>
      <c r="J49" s="336" t="s">
        <v>2122</v>
      </c>
      <c r="K49" s="339">
        <v>41065</v>
      </c>
      <c r="L49" s="339">
        <v>41249</v>
      </c>
      <c r="M49" s="340">
        <f t="shared" si="5"/>
        <v>184</v>
      </c>
      <c r="N49" s="339">
        <v>41614</v>
      </c>
      <c r="O49" s="340">
        <f t="shared" si="6"/>
        <v>365</v>
      </c>
      <c r="P49" s="339">
        <v>41614</v>
      </c>
      <c r="Q49" s="337"/>
      <c r="R49" s="341">
        <v>277513.28999999998</v>
      </c>
      <c r="S49" s="341">
        <v>277513.28999999998</v>
      </c>
      <c r="T49" s="341"/>
      <c r="U49" s="342">
        <f t="shared" si="9"/>
        <v>277513.28999999998</v>
      </c>
      <c r="V49" s="343">
        <f t="shared" si="11"/>
        <v>0</v>
      </c>
      <c r="W49" s="344">
        <v>10</v>
      </c>
      <c r="X49" s="337" t="s">
        <v>1283</v>
      </c>
      <c r="Y49" s="488" t="s">
        <v>2356</v>
      </c>
      <c r="Z49" s="460"/>
      <c r="AA49" s="27"/>
      <c r="AB49" s="27"/>
      <c r="AC49" s="11" t="s">
        <v>760</v>
      </c>
      <c r="AD49" s="495"/>
      <c r="AE49" s="25">
        <f t="shared" ca="1" si="10"/>
        <v>158.35616438356163</v>
      </c>
      <c r="AF49" s="42">
        <f t="shared" ca="1" si="8"/>
        <v>41827</v>
      </c>
    </row>
    <row r="50" spans="1:32" s="346" customFormat="1" ht="30" x14ac:dyDescent="0.2">
      <c r="A50" s="489">
        <v>41</v>
      </c>
      <c r="B50" s="492" t="s">
        <v>102</v>
      </c>
      <c r="C50" s="492" t="s">
        <v>101</v>
      </c>
      <c r="D50" s="336" t="s">
        <v>1965</v>
      </c>
      <c r="E50" s="491" t="s">
        <v>349</v>
      </c>
      <c r="F50" s="470" t="s">
        <v>2334</v>
      </c>
      <c r="G50" s="337" t="s">
        <v>350</v>
      </c>
      <c r="H50" s="338">
        <v>7.2</v>
      </c>
      <c r="I50" s="337" t="s">
        <v>351</v>
      </c>
      <c r="J50" s="336" t="s">
        <v>2122</v>
      </c>
      <c r="K50" s="339">
        <v>41065</v>
      </c>
      <c r="L50" s="339">
        <v>41193</v>
      </c>
      <c r="M50" s="340">
        <f t="shared" si="5"/>
        <v>128</v>
      </c>
      <c r="N50" s="339">
        <v>41558</v>
      </c>
      <c r="O50" s="340">
        <f t="shared" si="6"/>
        <v>365</v>
      </c>
      <c r="P50" s="339">
        <v>41558</v>
      </c>
      <c r="Q50" s="337"/>
      <c r="R50" s="341">
        <v>633393.26</v>
      </c>
      <c r="S50" s="341">
        <v>633393.26</v>
      </c>
      <c r="T50" s="341"/>
      <c r="U50" s="342">
        <f t="shared" si="9"/>
        <v>633393.26</v>
      </c>
      <c r="V50" s="343">
        <f t="shared" si="11"/>
        <v>0</v>
      </c>
      <c r="W50" s="344">
        <v>2</v>
      </c>
      <c r="X50" s="337" t="s">
        <v>1283</v>
      </c>
      <c r="Y50" s="488" t="s">
        <v>2356</v>
      </c>
      <c r="Z50" s="463"/>
      <c r="AA50" s="337"/>
      <c r="AB50" s="337"/>
      <c r="AC50" s="345" t="s">
        <v>2276</v>
      </c>
      <c r="AD50" s="493"/>
      <c r="AE50" s="344">
        <f t="shared" ca="1" si="10"/>
        <v>173.69863013698631</v>
      </c>
      <c r="AF50" s="339">
        <f t="shared" ca="1" si="8"/>
        <v>41827</v>
      </c>
    </row>
    <row r="51" spans="1:32" s="346" customFormat="1" ht="30" x14ac:dyDescent="0.2">
      <c r="A51" s="483">
        <v>42</v>
      </c>
      <c r="B51" s="494" t="s">
        <v>102</v>
      </c>
      <c r="C51" s="494" t="s">
        <v>101</v>
      </c>
      <c r="D51" s="470" t="s">
        <v>1949</v>
      </c>
      <c r="E51" s="485" t="s">
        <v>338</v>
      </c>
      <c r="F51" s="470" t="s">
        <v>2333</v>
      </c>
      <c r="G51" s="27" t="s">
        <v>340</v>
      </c>
      <c r="H51" s="33">
        <v>5.2</v>
      </c>
      <c r="I51" s="27" t="s">
        <v>2120</v>
      </c>
      <c r="J51" s="470" t="s">
        <v>2122</v>
      </c>
      <c r="K51" s="42">
        <v>41065</v>
      </c>
      <c r="L51" s="42">
        <v>41185</v>
      </c>
      <c r="M51" s="56">
        <f t="shared" si="5"/>
        <v>120</v>
      </c>
      <c r="N51" s="42">
        <v>41550</v>
      </c>
      <c r="O51" s="56">
        <f t="shared" si="6"/>
        <v>365</v>
      </c>
      <c r="P51" s="42">
        <v>41550</v>
      </c>
      <c r="Q51" s="27" t="s">
        <v>1255</v>
      </c>
      <c r="R51" s="19">
        <v>271201.84000000003</v>
      </c>
      <c r="S51" s="19">
        <v>271201.84000000003</v>
      </c>
      <c r="T51" s="19"/>
      <c r="U51" s="22">
        <f t="shared" si="9"/>
        <v>271201.84000000003</v>
      </c>
      <c r="V51" s="471">
        <f t="shared" si="11"/>
        <v>0</v>
      </c>
      <c r="W51" s="25">
        <v>25</v>
      </c>
      <c r="X51" s="27" t="s">
        <v>1283</v>
      </c>
      <c r="Y51" s="487" t="s">
        <v>2357</v>
      </c>
      <c r="Z51" s="463"/>
      <c r="AA51" s="337"/>
      <c r="AB51" s="337"/>
      <c r="AC51" s="345" t="s">
        <v>1888</v>
      </c>
      <c r="AD51" s="493"/>
      <c r="AE51" s="344">
        <f t="shared" ca="1" si="10"/>
        <v>175.89041095890411</v>
      </c>
      <c r="AF51" s="339">
        <f t="shared" ca="1" si="8"/>
        <v>41827</v>
      </c>
    </row>
    <row r="52" spans="1:32" s="346" customFormat="1" ht="30" x14ac:dyDescent="0.2">
      <c r="A52" s="489">
        <v>43</v>
      </c>
      <c r="B52" s="492" t="s">
        <v>102</v>
      </c>
      <c r="C52" s="492" t="s">
        <v>101</v>
      </c>
      <c r="D52" s="336" t="s">
        <v>1949</v>
      </c>
      <c r="E52" s="491" t="s">
        <v>2224</v>
      </c>
      <c r="F52" s="336" t="s">
        <v>2333</v>
      </c>
      <c r="G52" s="337" t="s">
        <v>2335</v>
      </c>
      <c r="H52" s="338">
        <v>8.1999999999999993</v>
      </c>
      <c r="I52" s="337" t="s">
        <v>259</v>
      </c>
      <c r="J52" s="336" t="s">
        <v>2122</v>
      </c>
      <c r="K52" s="339">
        <v>41067</v>
      </c>
      <c r="L52" s="339">
        <v>41185</v>
      </c>
      <c r="M52" s="340">
        <f t="shared" si="5"/>
        <v>118</v>
      </c>
      <c r="N52" s="339">
        <v>41550</v>
      </c>
      <c r="O52" s="340">
        <f t="shared" si="6"/>
        <v>365</v>
      </c>
      <c r="P52" s="339">
        <v>41550</v>
      </c>
      <c r="Q52" s="337"/>
      <c r="R52" s="341">
        <v>247191.18</v>
      </c>
      <c r="S52" s="341">
        <v>247191.18</v>
      </c>
      <c r="T52" s="341">
        <v>28092.65</v>
      </c>
      <c r="U52" s="342">
        <f t="shared" si="9"/>
        <v>219098.53</v>
      </c>
      <c r="V52" s="343">
        <f t="shared" si="11"/>
        <v>11.364746104614252</v>
      </c>
      <c r="W52" s="344"/>
      <c r="X52" s="337" t="s">
        <v>1283</v>
      </c>
      <c r="Y52" s="488" t="s">
        <v>2358</v>
      </c>
      <c r="Z52" s="463"/>
      <c r="AA52" s="337"/>
      <c r="AB52" s="337"/>
      <c r="AC52" s="345" t="s">
        <v>339</v>
      </c>
      <c r="AD52" s="493"/>
      <c r="AE52" s="344">
        <f t="shared" ca="1" si="10"/>
        <v>175.89041095890411</v>
      </c>
      <c r="AF52" s="339">
        <f t="shared" ca="1" si="8"/>
        <v>41827</v>
      </c>
    </row>
    <row r="53" spans="1:32" s="60" customFormat="1" ht="30" x14ac:dyDescent="0.2">
      <c r="A53" s="489">
        <v>44</v>
      </c>
      <c r="B53" s="492" t="s">
        <v>102</v>
      </c>
      <c r="C53" s="492" t="s">
        <v>101</v>
      </c>
      <c r="D53" s="336" t="s">
        <v>1949</v>
      </c>
      <c r="E53" s="491" t="s">
        <v>628</v>
      </c>
      <c r="F53" s="470" t="s">
        <v>2334</v>
      </c>
      <c r="G53" s="337" t="s">
        <v>341</v>
      </c>
      <c r="H53" s="338">
        <v>4.2</v>
      </c>
      <c r="I53" s="337" t="s">
        <v>625</v>
      </c>
      <c r="J53" s="336" t="s">
        <v>2122</v>
      </c>
      <c r="K53" s="339">
        <v>41129</v>
      </c>
      <c r="L53" s="42">
        <v>41185</v>
      </c>
      <c r="M53" s="56">
        <f t="shared" si="5"/>
        <v>56</v>
      </c>
      <c r="N53" s="42">
        <v>41550</v>
      </c>
      <c r="O53" s="56">
        <f t="shared" si="6"/>
        <v>365</v>
      </c>
      <c r="P53" s="42">
        <v>41550</v>
      </c>
      <c r="Q53" s="337"/>
      <c r="R53" s="341">
        <v>473041.15</v>
      </c>
      <c r="S53" s="341">
        <v>473041.15</v>
      </c>
      <c r="T53" s="341">
        <v>36639.17</v>
      </c>
      <c r="U53" s="342">
        <f t="shared" si="9"/>
        <v>436401.98000000004</v>
      </c>
      <c r="V53" s="343">
        <v>9</v>
      </c>
      <c r="W53" s="344">
        <v>9</v>
      </c>
      <c r="X53" s="337" t="s">
        <v>1283</v>
      </c>
      <c r="Y53" s="500" t="s">
        <v>2358</v>
      </c>
      <c r="Z53" s="460"/>
      <c r="AA53" s="27"/>
      <c r="AB53" s="27"/>
      <c r="AC53" s="11" t="s">
        <v>260</v>
      </c>
      <c r="AD53" s="495"/>
      <c r="AE53" s="25">
        <f t="shared" ca="1" si="10"/>
        <v>175.89041095890411</v>
      </c>
      <c r="AF53" s="42">
        <f t="shared" ca="1" si="8"/>
        <v>41827</v>
      </c>
    </row>
    <row r="54" spans="1:32" s="346" customFormat="1" ht="120" x14ac:dyDescent="0.2">
      <c r="A54" s="483">
        <v>45</v>
      </c>
      <c r="B54" s="494" t="s">
        <v>102</v>
      </c>
      <c r="C54" s="494" t="s">
        <v>101</v>
      </c>
      <c r="D54" s="470" t="s">
        <v>330</v>
      </c>
      <c r="E54" s="485" t="s">
        <v>367</v>
      </c>
      <c r="F54" s="470" t="s">
        <v>2334</v>
      </c>
      <c r="G54" s="27" t="s">
        <v>368</v>
      </c>
      <c r="H54" s="33">
        <v>5.0999999999999996</v>
      </c>
      <c r="I54" s="27" t="s">
        <v>369</v>
      </c>
      <c r="J54" s="470" t="s">
        <v>2122</v>
      </c>
      <c r="K54" s="42">
        <v>41129</v>
      </c>
      <c r="L54" s="42">
        <v>41242</v>
      </c>
      <c r="M54" s="56">
        <f t="shared" si="5"/>
        <v>113</v>
      </c>
      <c r="N54" s="42">
        <v>41606</v>
      </c>
      <c r="O54" s="56">
        <f t="shared" si="6"/>
        <v>321</v>
      </c>
      <c r="P54" s="42">
        <v>41563</v>
      </c>
      <c r="Q54" s="27" t="s">
        <v>1556</v>
      </c>
      <c r="R54" s="19">
        <v>453322.83</v>
      </c>
      <c r="S54" s="19">
        <v>453322.83</v>
      </c>
      <c r="T54" s="19">
        <v>136786.59</v>
      </c>
      <c r="U54" s="22">
        <f t="shared" si="9"/>
        <v>316536.24</v>
      </c>
      <c r="V54" s="471">
        <v>33.590000000000003</v>
      </c>
      <c r="W54" s="25">
        <v>50</v>
      </c>
      <c r="X54" s="27" t="s">
        <v>1283</v>
      </c>
      <c r="Y54" s="487" t="s">
        <v>2359</v>
      </c>
      <c r="Z54" s="463"/>
      <c r="AA54" s="337"/>
      <c r="AB54" s="337"/>
      <c r="AC54" s="345" t="s">
        <v>626</v>
      </c>
      <c r="AD54" s="493"/>
      <c r="AE54" s="344">
        <f t="shared" ca="1" si="10"/>
        <v>182.24299065420561</v>
      </c>
      <c r="AF54" s="339">
        <f t="shared" ca="1" si="8"/>
        <v>41827</v>
      </c>
    </row>
    <row r="55" spans="1:32" s="60" customFormat="1" ht="60" x14ac:dyDescent="0.2">
      <c r="A55" s="489">
        <v>46</v>
      </c>
      <c r="B55" s="492" t="s">
        <v>102</v>
      </c>
      <c r="C55" s="492" t="s">
        <v>101</v>
      </c>
      <c r="D55" s="336" t="s">
        <v>656</v>
      </c>
      <c r="E55" s="491" t="s">
        <v>2197</v>
      </c>
      <c r="F55" s="470" t="s">
        <v>2333</v>
      </c>
      <c r="G55" s="337" t="s">
        <v>2198</v>
      </c>
      <c r="H55" s="338">
        <v>13.5</v>
      </c>
      <c r="I55" s="337" t="s">
        <v>2199</v>
      </c>
      <c r="J55" s="336" t="s">
        <v>2122</v>
      </c>
      <c r="K55" s="339">
        <v>41129</v>
      </c>
      <c r="L55" s="339">
        <v>41179</v>
      </c>
      <c r="M55" s="340">
        <f t="shared" si="5"/>
        <v>50</v>
      </c>
      <c r="N55" s="339">
        <v>41544</v>
      </c>
      <c r="O55" s="340">
        <f t="shared" si="6"/>
        <v>365</v>
      </c>
      <c r="P55" s="339">
        <v>41544</v>
      </c>
      <c r="Q55" s="337" t="s">
        <v>2304</v>
      </c>
      <c r="R55" s="341">
        <v>333155.02</v>
      </c>
      <c r="S55" s="341">
        <v>333155.02</v>
      </c>
      <c r="T55" s="341">
        <v>98966.98</v>
      </c>
      <c r="U55" s="342">
        <f t="shared" si="9"/>
        <v>234188.04000000004</v>
      </c>
      <c r="V55" s="343">
        <v>35.17</v>
      </c>
      <c r="W55" s="344">
        <v>15.99</v>
      </c>
      <c r="X55" s="337" t="s">
        <v>1283</v>
      </c>
      <c r="Y55" s="487" t="s">
        <v>2360</v>
      </c>
      <c r="Z55" s="460"/>
      <c r="AA55" s="27"/>
      <c r="AB55" s="27"/>
      <c r="AC55" s="11" t="s">
        <v>2095</v>
      </c>
      <c r="AD55" s="495"/>
      <c r="AE55" s="25">
        <f t="shared" ca="1" si="10"/>
        <v>177.53424657534248</v>
      </c>
      <c r="AF55" s="42">
        <f t="shared" ca="1" si="8"/>
        <v>41827</v>
      </c>
    </row>
    <row r="56" spans="1:32" s="346" customFormat="1" ht="30" x14ac:dyDescent="0.2">
      <c r="A56" s="489">
        <v>47</v>
      </c>
      <c r="B56" s="492" t="s">
        <v>102</v>
      </c>
      <c r="C56" s="492" t="s">
        <v>101</v>
      </c>
      <c r="D56" s="336" t="s">
        <v>1949</v>
      </c>
      <c r="E56" s="491" t="s">
        <v>858</v>
      </c>
      <c r="F56" s="336" t="s">
        <v>2333</v>
      </c>
      <c r="G56" s="337" t="s">
        <v>365</v>
      </c>
      <c r="H56" s="338">
        <v>4.75</v>
      </c>
      <c r="I56" s="337" t="s">
        <v>366</v>
      </c>
      <c r="J56" s="336" t="s">
        <v>2122</v>
      </c>
      <c r="K56" s="339">
        <v>41065</v>
      </c>
      <c r="L56" s="339"/>
      <c r="M56" s="340"/>
      <c r="N56" s="339"/>
      <c r="O56" s="340"/>
      <c r="P56" s="339"/>
      <c r="Q56" s="337"/>
      <c r="R56" s="341">
        <v>294382.90000000002</v>
      </c>
      <c r="S56" s="341">
        <v>294382.90000000002</v>
      </c>
      <c r="T56" s="341">
        <v>33871.54</v>
      </c>
      <c r="U56" s="342">
        <f t="shared" si="9"/>
        <v>260511.36000000002</v>
      </c>
      <c r="V56" s="343">
        <f>T56/S56*100</f>
        <v>11.505946846776766</v>
      </c>
      <c r="W56" s="344">
        <v>10</v>
      </c>
      <c r="X56" s="337" t="s">
        <v>1283</v>
      </c>
      <c r="Y56" s="488" t="s">
        <v>2358</v>
      </c>
      <c r="Z56" s="463"/>
      <c r="AA56" s="337"/>
      <c r="AB56" s="337"/>
      <c r="AC56" s="345" t="s">
        <v>2200</v>
      </c>
      <c r="AD56" s="493"/>
      <c r="AE56" s="344" t="e">
        <f t="shared" ca="1" si="10"/>
        <v>#DIV/0!</v>
      </c>
      <c r="AF56" s="339">
        <f t="shared" ca="1" si="8"/>
        <v>41827</v>
      </c>
    </row>
    <row r="57" spans="1:32" s="346" customFormat="1" ht="90" x14ac:dyDescent="0.2">
      <c r="A57" s="489">
        <v>48</v>
      </c>
      <c r="B57" s="492" t="s">
        <v>102</v>
      </c>
      <c r="C57" s="492" t="s">
        <v>101</v>
      </c>
      <c r="D57" s="336" t="s">
        <v>329</v>
      </c>
      <c r="E57" s="491" t="s">
        <v>860</v>
      </c>
      <c r="F57" s="336" t="s">
        <v>2333</v>
      </c>
      <c r="G57" s="337" t="s">
        <v>264</v>
      </c>
      <c r="H57" s="338">
        <v>9.1999999999999993</v>
      </c>
      <c r="I57" s="337" t="s">
        <v>600</v>
      </c>
      <c r="J57" s="336" t="s">
        <v>2122</v>
      </c>
      <c r="K57" s="339">
        <v>41129</v>
      </c>
      <c r="L57" s="339">
        <v>41194</v>
      </c>
      <c r="M57" s="340">
        <f t="shared" ref="M57:M62" si="12">L57-K57</f>
        <v>65</v>
      </c>
      <c r="N57" s="339">
        <v>41561</v>
      </c>
      <c r="O57" s="340">
        <f t="shared" ref="O57:O62" si="13">P57-L57</f>
        <v>367</v>
      </c>
      <c r="P57" s="339">
        <v>41561</v>
      </c>
      <c r="Q57" s="337" t="s">
        <v>2281</v>
      </c>
      <c r="R57" s="341">
        <v>398414.08000000002</v>
      </c>
      <c r="S57" s="341">
        <v>398414.08000000002</v>
      </c>
      <c r="T57" s="341">
        <v>141139.74</v>
      </c>
      <c r="U57" s="342">
        <f t="shared" si="9"/>
        <v>257274.34000000003</v>
      </c>
      <c r="V57" s="343">
        <v>39.369999999999997</v>
      </c>
      <c r="W57" s="344">
        <v>35.380000000000003</v>
      </c>
      <c r="X57" s="337" t="s">
        <v>1283</v>
      </c>
      <c r="Y57" s="488" t="s">
        <v>2361</v>
      </c>
      <c r="Z57" s="463"/>
      <c r="AA57" s="337"/>
      <c r="AB57" s="337"/>
      <c r="AC57" s="345" t="s">
        <v>2040</v>
      </c>
      <c r="AD57" s="493"/>
      <c r="AE57" s="344">
        <f t="shared" ca="1" si="10"/>
        <v>172.47956403269754</v>
      </c>
      <c r="AF57" s="339">
        <f t="shared" ca="1" si="8"/>
        <v>41827</v>
      </c>
    </row>
    <row r="58" spans="1:32" s="346" customFormat="1" ht="165" x14ac:dyDescent="0.2">
      <c r="A58" s="483">
        <v>49</v>
      </c>
      <c r="B58" s="494" t="s">
        <v>102</v>
      </c>
      <c r="C58" s="494" t="s">
        <v>101</v>
      </c>
      <c r="D58" s="470" t="s">
        <v>656</v>
      </c>
      <c r="E58" s="485" t="s">
        <v>352</v>
      </c>
      <c r="F58" s="470" t="s">
        <v>2334</v>
      </c>
      <c r="G58" s="27" t="s">
        <v>353</v>
      </c>
      <c r="H58" s="33">
        <v>2.4</v>
      </c>
      <c r="I58" s="27" t="s">
        <v>354</v>
      </c>
      <c r="J58" s="470" t="s">
        <v>2122</v>
      </c>
      <c r="K58" s="339">
        <v>41129</v>
      </c>
      <c r="L58" s="42">
        <v>41257</v>
      </c>
      <c r="M58" s="56">
        <f t="shared" si="12"/>
        <v>128</v>
      </c>
      <c r="N58" s="42">
        <v>41621</v>
      </c>
      <c r="O58" s="56">
        <f t="shared" si="13"/>
        <v>364</v>
      </c>
      <c r="P58" s="42">
        <v>41621</v>
      </c>
      <c r="Q58" s="27" t="s">
        <v>1365</v>
      </c>
      <c r="R58" s="19">
        <v>378253.18</v>
      </c>
      <c r="S58" s="19">
        <v>378253.18</v>
      </c>
      <c r="T58" s="19">
        <v>341174.04</v>
      </c>
      <c r="U58" s="22">
        <f t="shared" si="9"/>
        <v>37079.140000000014</v>
      </c>
      <c r="V58" s="471">
        <f>T58/S58*100</f>
        <v>90.197269458514526</v>
      </c>
      <c r="W58" s="25">
        <v>85</v>
      </c>
      <c r="X58" s="27" t="s">
        <v>1283</v>
      </c>
      <c r="Y58" s="487" t="s">
        <v>2362</v>
      </c>
      <c r="Z58" s="463"/>
      <c r="AA58" s="337"/>
      <c r="AB58" s="337"/>
      <c r="AC58" s="345" t="s">
        <v>2274</v>
      </c>
      <c r="AD58" s="493">
        <v>1</v>
      </c>
      <c r="AE58" s="344">
        <f t="shared" ca="1" si="10"/>
        <v>156.5934065934066</v>
      </c>
      <c r="AF58" s="339">
        <f t="shared" ca="1" si="8"/>
        <v>41827</v>
      </c>
    </row>
    <row r="59" spans="1:32" s="346" customFormat="1" ht="60" x14ac:dyDescent="0.2">
      <c r="A59" s="489">
        <v>50</v>
      </c>
      <c r="B59" s="492" t="s">
        <v>102</v>
      </c>
      <c r="C59" s="492" t="s">
        <v>101</v>
      </c>
      <c r="D59" s="336" t="s">
        <v>1676</v>
      </c>
      <c r="E59" s="491" t="s">
        <v>2205</v>
      </c>
      <c r="F59" s="336" t="s">
        <v>2333</v>
      </c>
      <c r="G59" s="337" t="s">
        <v>2206</v>
      </c>
      <c r="H59" s="338">
        <v>6.5</v>
      </c>
      <c r="I59" s="337" t="s">
        <v>2207</v>
      </c>
      <c r="J59" s="336" t="s">
        <v>2122</v>
      </c>
      <c r="K59" s="339">
        <v>41129</v>
      </c>
      <c r="L59" s="339">
        <v>41192</v>
      </c>
      <c r="M59" s="340">
        <f t="shared" si="12"/>
        <v>63</v>
      </c>
      <c r="N59" s="339">
        <v>41557</v>
      </c>
      <c r="O59" s="340">
        <f t="shared" si="13"/>
        <v>365</v>
      </c>
      <c r="P59" s="339">
        <v>41557</v>
      </c>
      <c r="Q59" s="337" t="s">
        <v>897</v>
      </c>
      <c r="R59" s="341">
        <v>339778.6</v>
      </c>
      <c r="S59" s="341">
        <v>339778.6</v>
      </c>
      <c r="T59" s="341">
        <v>112563.18</v>
      </c>
      <c r="U59" s="342">
        <f t="shared" si="9"/>
        <v>227215.41999999998</v>
      </c>
      <c r="V59" s="343">
        <f>T59/S59*100</f>
        <v>33.128390075184257</v>
      </c>
      <c r="W59" s="344">
        <v>40</v>
      </c>
      <c r="X59" s="337" t="s">
        <v>1283</v>
      </c>
      <c r="Y59" s="488" t="s">
        <v>2363</v>
      </c>
      <c r="Z59" s="463"/>
      <c r="AA59" s="337"/>
      <c r="AB59" s="337"/>
      <c r="AC59" s="345" t="s">
        <v>1912</v>
      </c>
      <c r="AD59" s="493"/>
      <c r="AE59" s="344">
        <f t="shared" ca="1" si="10"/>
        <v>173.97260273972603</v>
      </c>
      <c r="AF59" s="339">
        <f t="shared" ca="1" si="8"/>
        <v>41827</v>
      </c>
    </row>
    <row r="60" spans="1:32" s="346" customFormat="1" ht="179.25" customHeight="1" x14ac:dyDescent="0.2">
      <c r="A60" s="489">
        <v>51</v>
      </c>
      <c r="B60" s="492" t="s">
        <v>102</v>
      </c>
      <c r="C60" s="492" t="s">
        <v>101</v>
      </c>
      <c r="D60" s="336" t="s">
        <v>1676</v>
      </c>
      <c r="E60" s="491" t="s">
        <v>2201</v>
      </c>
      <c r="F60" s="336" t="s">
        <v>2333</v>
      </c>
      <c r="G60" s="337" t="s">
        <v>2202</v>
      </c>
      <c r="H60" s="338">
        <v>6.6</v>
      </c>
      <c r="I60" s="337" t="s">
        <v>2203</v>
      </c>
      <c r="J60" s="336" t="s">
        <v>2122</v>
      </c>
      <c r="K60" s="339">
        <v>41129</v>
      </c>
      <c r="L60" s="339">
        <v>41192</v>
      </c>
      <c r="M60" s="340">
        <f t="shared" si="12"/>
        <v>63</v>
      </c>
      <c r="N60" s="339">
        <v>41557</v>
      </c>
      <c r="O60" s="340">
        <f t="shared" si="13"/>
        <v>365</v>
      </c>
      <c r="P60" s="339">
        <v>41557</v>
      </c>
      <c r="Q60" s="337" t="s">
        <v>2323</v>
      </c>
      <c r="R60" s="341">
        <v>384825.58</v>
      </c>
      <c r="S60" s="341">
        <v>384825.58</v>
      </c>
      <c r="T60" s="341">
        <v>224511.63</v>
      </c>
      <c r="U60" s="342">
        <f t="shared" si="9"/>
        <v>160313.95000000001</v>
      </c>
      <c r="V60" s="343">
        <v>60</v>
      </c>
      <c r="W60" s="344">
        <v>54</v>
      </c>
      <c r="X60" s="337" t="s">
        <v>1283</v>
      </c>
      <c r="Y60" s="488" t="s">
        <v>2364</v>
      </c>
      <c r="Z60" s="463"/>
      <c r="AA60" s="337"/>
      <c r="AB60" s="337"/>
      <c r="AC60" s="345" t="s">
        <v>2208</v>
      </c>
      <c r="AD60" s="493"/>
      <c r="AE60" s="344">
        <f t="shared" ca="1" si="10"/>
        <v>173.97260273972603</v>
      </c>
      <c r="AF60" s="339">
        <f t="shared" ca="1" si="8"/>
        <v>41827</v>
      </c>
    </row>
    <row r="61" spans="1:32" s="60" customFormat="1" ht="105" x14ac:dyDescent="0.2">
      <c r="A61" s="483">
        <v>52</v>
      </c>
      <c r="B61" s="494" t="s">
        <v>102</v>
      </c>
      <c r="C61" s="494" t="s">
        <v>101</v>
      </c>
      <c r="D61" s="502" t="s">
        <v>1965</v>
      </c>
      <c r="E61" s="485" t="s">
        <v>261</v>
      </c>
      <c r="F61" s="502" t="s">
        <v>2334</v>
      </c>
      <c r="G61" s="27" t="s">
        <v>262</v>
      </c>
      <c r="H61" s="33">
        <v>4.2</v>
      </c>
      <c r="I61" s="27" t="s">
        <v>217</v>
      </c>
      <c r="J61" s="502" t="s">
        <v>2122</v>
      </c>
      <c r="K61" s="42">
        <v>41129</v>
      </c>
      <c r="L61" s="42">
        <v>41193</v>
      </c>
      <c r="M61" s="56">
        <f t="shared" si="12"/>
        <v>64</v>
      </c>
      <c r="N61" s="42">
        <v>41558</v>
      </c>
      <c r="O61" s="56">
        <f t="shared" si="13"/>
        <v>365</v>
      </c>
      <c r="P61" s="42">
        <v>41558</v>
      </c>
      <c r="Q61" s="27" t="s">
        <v>2280</v>
      </c>
      <c r="R61" s="19">
        <v>672477.15</v>
      </c>
      <c r="S61" s="19">
        <v>672477.15</v>
      </c>
      <c r="T61" s="19">
        <v>431483.91</v>
      </c>
      <c r="U61" s="22">
        <f t="shared" si="9"/>
        <v>240993.24000000005</v>
      </c>
      <c r="V61" s="503">
        <v>66.3</v>
      </c>
      <c r="W61" s="25">
        <v>80</v>
      </c>
      <c r="X61" s="27" t="s">
        <v>1283</v>
      </c>
      <c r="Y61" s="27" t="s">
        <v>2365</v>
      </c>
      <c r="Z61" s="460"/>
      <c r="AA61" s="27"/>
      <c r="AB61" s="27"/>
      <c r="AC61" s="11" t="s">
        <v>1572</v>
      </c>
      <c r="AD61" s="495"/>
      <c r="AE61" s="25">
        <f t="shared" ca="1" si="10"/>
        <v>173.69863013698631</v>
      </c>
      <c r="AF61" s="42">
        <f t="shared" ca="1" si="8"/>
        <v>41827</v>
      </c>
    </row>
    <row r="62" spans="1:32" s="448" customFormat="1" ht="99" customHeight="1" x14ac:dyDescent="0.2">
      <c r="A62" s="483">
        <v>53</v>
      </c>
      <c r="B62" s="494" t="s">
        <v>102</v>
      </c>
      <c r="C62" s="494" t="s">
        <v>101</v>
      </c>
      <c r="D62" s="470" t="s">
        <v>330</v>
      </c>
      <c r="E62" s="485" t="s">
        <v>370</v>
      </c>
      <c r="F62" s="470" t="s">
        <v>2333</v>
      </c>
      <c r="G62" s="27" t="s">
        <v>371</v>
      </c>
      <c r="H62" s="33">
        <v>13.6</v>
      </c>
      <c r="I62" s="27" t="s">
        <v>996</v>
      </c>
      <c r="J62" s="470" t="s">
        <v>2122</v>
      </c>
      <c r="K62" s="42">
        <v>41065</v>
      </c>
      <c r="L62" s="42">
        <v>41185</v>
      </c>
      <c r="M62" s="56">
        <f t="shared" si="12"/>
        <v>120</v>
      </c>
      <c r="N62" s="42">
        <v>41550</v>
      </c>
      <c r="O62" s="56">
        <f t="shared" si="13"/>
        <v>365</v>
      </c>
      <c r="P62" s="42">
        <v>41550</v>
      </c>
      <c r="Q62" s="27"/>
      <c r="R62" s="19">
        <v>373746.28</v>
      </c>
      <c r="S62" s="19">
        <v>373746.28</v>
      </c>
      <c r="T62" s="19">
        <v>43912.04</v>
      </c>
      <c r="U62" s="22">
        <f t="shared" si="9"/>
        <v>329834.24000000005</v>
      </c>
      <c r="V62" s="471">
        <f>T62/S62*100</f>
        <v>11.749157744125238</v>
      </c>
      <c r="W62" s="25">
        <v>10</v>
      </c>
      <c r="X62" s="27" t="s">
        <v>681</v>
      </c>
      <c r="Y62" s="487" t="s">
        <v>2356</v>
      </c>
      <c r="Z62" s="462"/>
      <c r="AA62" s="436"/>
      <c r="AB62" s="436"/>
      <c r="AC62" s="444" t="s">
        <v>263</v>
      </c>
      <c r="AD62" s="499">
        <v>2</v>
      </c>
      <c r="AE62" s="442">
        <f t="shared" ca="1" si="10"/>
        <v>175.89041095890411</v>
      </c>
      <c r="AF62" s="438">
        <f t="shared" ca="1" si="8"/>
        <v>41827</v>
      </c>
    </row>
    <row r="63" spans="1:32" s="60" customFormat="1" ht="30" x14ac:dyDescent="0.2">
      <c r="A63" s="483">
        <v>54</v>
      </c>
      <c r="B63" s="494" t="s">
        <v>102</v>
      </c>
      <c r="C63" s="494" t="s">
        <v>101</v>
      </c>
      <c r="D63" s="470" t="s">
        <v>332</v>
      </c>
      <c r="E63" s="485" t="s">
        <v>372</v>
      </c>
      <c r="F63" s="470" t="s">
        <v>2333</v>
      </c>
      <c r="G63" s="27" t="s">
        <v>373</v>
      </c>
      <c r="H63" s="33">
        <v>4</v>
      </c>
      <c r="I63" s="27" t="s">
        <v>374</v>
      </c>
      <c r="J63" s="470" t="s">
        <v>2122</v>
      </c>
      <c r="K63" s="42">
        <v>41065</v>
      </c>
      <c r="L63" s="42"/>
      <c r="M63" s="56"/>
      <c r="N63" s="42"/>
      <c r="O63" s="56"/>
      <c r="P63" s="42"/>
      <c r="Q63" s="27"/>
      <c r="R63" s="19">
        <v>197510.08</v>
      </c>
      <c r="S63" s="19">
        <v>197510.08</v>
      </c>
      <c r="T63" s="19"/>
      <c r="U63" s="22">
        <f t="shared" si="9"/>
        <v>197510.08</v>
      </c>
      <c r="V63" s="471">
        <f>T63/S63*100</f>
        <v>0</v>
      </c>
      <c r="W63" s="25"/>
      <c r="X63" s="27" t="s">
        <v>681</v>
      </c>
      <c r="Y63" s="487"/>
      <c r="Z63" s="460"/>
      <c r="AA63" s="27"/>
      <c r="AB63" s="27"/>
      <c r="AC63" s="11" t="s">
        <v>1435</v>
      </c>
      <c r="AD63" s="495"/>
      <c r="AE63" s="25" t="e">
        <f t="shared" ca="1" si="10"/>
        <v>#DIV/0!</v>
      </c>
      <c r="AF63" s="42">
        <f t="shared" ca="1" si="8"/>
        <v>41827</v>
      </c>
    </row>
    <row r="64" spans="1:32" s="4" customFormat="1" ht="28.5" customHeight="1" x14ac:dyDescent="0.25">
      <c r="A64" s="517" t="s">
        <v>14</v>
      </c>
      <c r="B64" s="517"/>
      <c r="C64" s="517"/>
      <c r="D64" s="517"/>
      <c r="E64" s="518"/>
      <c r="F64" s="518"/>
      <c r="G64" s="518"/>
      <c r="H64" s="33"/>
      <c r="I64" s="27"/>
      <c r="J64" s="21"/>
      <c r="K64" s="42"/>
      <c r="L64" s="43"/>
      <c r="M64" s="43"/>
      <c r="N64" s="43"/>
      <c r="O64" s="43"/>
      <c r="P64" s="43"/>
      <c r="Q64" s="27"/>
      <c r="R64" s="19"/>
      <c r="S64" s="19"/>
      <c r="T64" s="208"/>
      <c r="U64" s="208"/>
      <c r="V64" s="25"/>
      <c r="W64" s="25"/>
      <c r="X64" s="27"/>
      <c r="Y64" s="460"/>
      <c r="Z64" s="27"/>
      <c r="AA64" s="27"/>
      <c r="AB64" s="37"/>
      <c r="AC64" s="64"/>
    </row>
    <row r="65" spans="1:33" s="4" customFormat="1" ht="60" x14ac:dyDescent="0.2">
      <c r="A65" s="8">
        <v>55</v>
      </c>
      <c r="B65" s="8" t="s">
        <v>102</v>
      </c>
      <c r="C65" s="8" t="s">
        <v>101</v>
      </c>
      <c r="D65" s="114" t="s">
        <v>1500</v>
      </c>
      <c r="E65" s="10" t="s">
        <v>886</v>
      </c>
      <c r="F65" s="21" t="s">
        <v>1818</v>
      </c>
      <c r="G65" s="27" t="s">
        <v>176</v>
      </c>
      <c r="H65" s="11" t="s">
        <v>738</v>
      </c>
      <c r="I65" s="27" t="s">
        <v>2187</v>
      </c>
      <c r="J65" s="21" t="s">
        <v>14</v>
      </c>
      <c r="K65" s="42">
        <v>39142</v>
      </c>
      <c r="L65" s="43">
        <v>39234</v>
      </c>
      <c r="M65" s="56">
        <f t="shared" ref="M65:M71" si="14">L65-K65</f>
        <v>92</v>
      </c>
      <c r="N65" s="43">
        <v>39599</v>
      </c>
      <c r="O65" s="56">
        <f t="shared" ref="O65:O71" si="15">P65-L65</f>
        <v>365</v>
      </c>
      <c r="P65" s="43">
        <v>39599</v>
      </c>
      <c r="Q65" s="11" t="s">
        <v>738</v>
      </c>
      <c r="R65" s="19">
        <v>457656.61</v>
      </c>
      <c r="S65" s="19">
        <v>457656.61</v>
      </c>
      <c r="T65" s="22">
        <v>108901.12</v>
      </c>
      <c r="U65" s="22">
        <f t="shared" ref="U65:U69" si="16">S65-T65</f>
        <v>348755.49</v>
      </c>
      <c r="V65" s="52">
        <f t="shared" ref="V65:V71" si="17">T65/S65*100</f>
        <v>23.795377936309059</v>
      </c>
      <c r="W65" s="21">
        <v>63.54</v>
      </c>
      <c r="X65" s="27" t="s">
        <v>266</v>
      </c>
      <c r="Y65" s="464" t="s">
        <v>738</v>
      </c>
      <c r="Z65" s="11"/>
      <c r="AA65" s="11" t="s">
        <v>738</v>
      </c>
      <c r="AB65" s="21">
        <v>2</v>
      </c>
      <c r="AC65" s="25"/>
      <c r="AD65" s="42"/>
    </row>
    <row r="66" spans="1:33" s="4" customFormat="1" ht="75" x14ac:dyDescent="0.2">
      <c r="A66" s="8">
        <v>56</v>
      </c>
      <c r="B66" s="8" t="s">
        <v>102</v>
      </c>
      <c r="C66" s="8" t="s">
        <v>101</v>
      </c>
      <c r="D66" s="21" t="s">
        <v>329</v>
      </c>
      <c r="E66" s="10" t="s">
        <v>1964</v>
      </c>
      <c r="F66" s="21" t="s">
        <v>1818</v>
      </c>
      <c r="G66" s="27" t="s">
        <v>177</v>
      </c>
      <c r="H66" s="11" t="s">
        <v>738</v>
      </c>
      <c r="I66" s="27" t="s">
        <v>2188</v>
      </c>
      <c r="J66" s="21" t="s">
        <v>14</v>
      </c>
      <c r="K66" s="42">
        <v>38672</v>
      </c>
      <c r="L66" s="43">
        <v>38726</v>
      </c>
      <c r="M66" s="56">
        <f t="shared" si="14"/>
        <v>54</v>
      </c>
      <c r="N66" s="43">
        <v>39210</v>
      </c>
      <c r="O66" s="56">
        <f t="shared" si="15"/>
        <v>484</v>
      </c>
      <c r="P66" s="43">
        <v>39210</v>
      </c>
      <c r="Q66" s="27" t="s">
        <v>2151</v>
      </c>
      <c r="R66" s="19">
        <v>612511.67200000002</v>
      </c>
      <c r="S66" s="19">
        <v>612511.67200000002</v>
      </c>
      <c r="T66" s="22">
        <v>327373.74</v>
      </c>
      <c r="U66" s="22">
        <f t="shared" si="16"/>
        <v>285137.93200000003</v>
      </c>
      <c r="V66" s="52">
        <f t="shared" si="17"/>
        <v>53.447755359672556</v>
      </c>
      <c r="W66" s="21">
        <v>95</v>
      </c>
      <c r="X66" s="27" t="s">
        <v>1861</v>
      </c>
      <c r="Y66" s="460" t="s">
        <v>1086</v>
      </c>
      <c r="Z66" s="27"/>
      <c r="AA66" s="11" t="s">
        <v>1785</v>
      </c>
      <c r="AB66" s="21">
        <v>5</v>
      </c>
      <c r="AC66" s="25">
        <f ca="1">(AD66-L66)/O66*100</f>
        <v>640.70247933884298</v>
      </c>
      <c r="AD66" s="42">
        <f t="shared" ref="AD66:AD71" ca="1" si="18">TODAY()</f>
        <v>41827</v>
      </c>
    </row>
    <row r="67" spans="1:33" s="4" customFormat="1" ht="60" x14ac:dyDescent="0.2">
      <c r="A67" s="8">
        <v>57</v>
      </c>
      <c r="B67" s="8" t="s">
        <v>102</v>
      </c>
      <c r="C67" s="8" t="s">
        <v>101</v>
      </c>
      <c r="D67" s="21" t="s">
        <v>330</v>
      </c>
      <c r="E67" s="10" t="s">
        <v>1963</v>
      </c>
      <c r="F67" s="21" t="s">
        <v>1818</v>
      </c>
      <c r="G67" s="27" t="s">
        <v>1524</v>
      </c>
      <c r="H67" s="11" t="s">
        <v>738</v>
      </c>
      <c r="I67" s="27" t="s">
        <v>1205</v>
      </c>
      <c r="J67" s="21" t="s">
        <v>14</v>
      </c>
      <c r="K67" s="42">
        <v>38427</v>
      </c>
      <c r="L67" s="43">
        <v>38820</v>
      </c>
      <c r="M67" s="56">
        <f t="shared" si="14"/>
        <v>393</v>
      </c>
      <c r="N67" s="43">
        <v>39055</v>
      </c>
      <c r="O67" s="56">
        <f t="shared" si="15"/>
        <v>1782</v>
      </c>
      <c r="P67" s="43">
        <v>40602</v>
      </c>
      <c r="Q67" s="27" t="s">
        <v>1815</v>
      </c>
      <c r="R67" s="19">
        <v>343552.21</v>
      </c>
      <c r="S67" s="19">
        <v>343552.21</v>
      </c>
      <c r="T67" s="22">
        <v>276965.56</v>
      </c>
      <c r="U67" s="22">
        <v>0</v>
      </c>
      <c r="V67" s="52">
        <f t="shared" si="17"/>
        <v>80.618186097536665</v>
      </c>
      <c r="W67" s="21">
        <v>100</v>
      </c>
      <c r="X67" s="27" t="s">
        <v>1604</v>
      </c>
      <c r="Y67" s="460" t="s">
        <v>1815</v>
      </c>
      <c r="Z67" s="27"/>
      <c r="AA67" s="11" t="s">
        <v>738</v>
      </c>
      <c r="AB67" s="21">
        <v>5</v>
      </c>
      <c r="AC67" s="25"/>
      <c r="AD67" s="42">
        <f t="shared" ca="1" si="18"/>
        <v>41827</v>
      </c>
    </row>
    <row r="68" spans="1:33" s="349" customFormat="1" ht="45" x14ac:dyDescent="0.2">
      <c r="A68" s="450">
        <v>58</v>
      </c>
      <c r="B68" s="450" t="s">
        <v>102</v>
      </c>
      <c r="C68" s="450" t="s">
        <v>101</v>
      </c>
      <c r="D68" s="336" t="s">
        <v>1676</v>
      </c>
      <c r="E68" s="347" t="s">
        <v>1087</v>
      </c>
      <c r="F68" s="336" t="s">
        <v>1818</v>
      </c>
      <c r="G68" s="337" t="s">
        <v>1525</v>
      </c>
      <c r="H68" s="345" t="s">
        <v>738</v>
      </c>
      <c r="I68" s="337" t="s">
        <v>739</v>
      </c>
      <c r="J68" s="336" t="s">
        <v>14</v>
      </c>
      <c r="K68" s="348">
        <v>39804</v>
      </c>
      <c r="L68" s="348">
        <v>39904</v>
      </c>
      <c r="M68" s="340">
        <f t="shared" si="14"/>
        <v>100</v>
      </c>
      <c r="N68" s="348">
        <v>40268</v>
      </c>
      <c r="O68" s="340">
        <f t="shared" si="15"/>
        <v>927</v>
      </c>
      <c r="P68" s="348">
        <v>40831</v>
      </c>
      <c r="Q68" s="337" t="s">
        <v>913</v>
      </c>
      <c r="R68" s="341">
        <v>794487.36</v>
      </c>
      <c r="S68" s="341">
        <v>794487.36</v>
      </c>
      <c r="T68" s="342">
        <v>595830.18999999994</v>
      </c>
      <c r="U68" s="342">
        <v>0</v>
      </c>
      <c r="V68" s="343">
        <f t="shared" si="17"/>
        <v>74.995553107352137</v>
      </c>
      <c r="W68" s="336">
        <v>100</v>
      </c>
      <c r="X68" s="337" t="s">
        <v>2324</v>
      </c>
      <c r="Y68" s="463" t="s">
        <v>1925</v>
      </c>
      <c r="Z68" s="337"/>
      <c r="AA68" s="345" t="s">
        <v>738</v>
      </c>
      <c r="AB68" s="336">
        <v>6</v>
      </c>
      <c r="AC68" s="344"/>
      <c r="AD68" s="339">
        <f t="shared" ca="1" si="18"/>
        <v>41827</v>
      </c>
    </row>
    <row r="69" spans="1:33" s="349" customFormat="1" ht="75" x14ac:dyDescent="0.2">
      <c r="A69" s="450">
        <v>59</v>
      </c>
      <c r="B69" s="450" t="s">
        <v>102</v>
      </c>
      <c r="C69" s="450" t="s">
        <v>101</v>
      </c>
      <c r="D69" s="336" t="s">
        <v>330</v>
      </c>
      <c r="E69" s="347" t="s">
        <v>1088</v>
      </c>
      <c r="F69" s="336" t="s">
        <v>1818</v>
      </c>
      <c r="G69" s="337" t="s">
        <v>852</v>
      </c>
      <c r="H69" s="345" t="s">
        <v>738</v>
      </c>
      <c r="I69" s="337" t="s">
        <v>530</v>
      </c>
      <c r="J69" s="336" t="s">
        <v>14</v>
      </c>
      <c r="K69" s="348">
        <v>39804</v>
      </c>
      <c r="L69" s="339">
        <v>39890</v>
      </c>
      <c r="M69" s="340">
        <f t="shared" si="14"/>
        <v>86</v>
      </c>
      <c r="N69" s="339">
        <v>40254</v>
      </c>
      <c r="O69" s="340">
        <f t="shared" si="15"/>
        <v>865</v>
      </c>
      <c r="P69" s="339">
        <v>40755</v>
      </c>
      <c r="Q69" s="337" t="s">
        <v>674</v>
      </c>
      <c r="R69" s="341">
        <v>922224</v>
      </c>
      <c r="S69" s="341">
        <f>922224+856930.6</f>
        <v>1779154.6</v>
      </c>
      <c r="T69" s="342">
        <v>719432.59</v>
      </c>
      <c r="U69" s="342">
        <f t="shared" si="16"/>
        <v>1059722.0100000002</v>
      </c>
      <c r="V69" s="343">
        <v>40.74</v>
      </c>
      <c r="W69" s="336">
        <v>40.479999999999997</v>
      </c>
      <c r="X69" s="337" t="s">
        <v>1283</v>
      </c>
      <c r="Y69" s="463" t="s">
        <v>674</v>
      </c>
      <c r="Z69" s="337"/>
      <c r="AA69" s="345" t="s">
        <v>738</v>
      </c>
      <c r="AB69" s="336">
        <v>7</v>
      </c>
      <c r="AC69" s="344"/>
      <c r="AD69" s="339">
        <f t="shared" ca="1" si="18"/>
        <v>41827</v>
      </c>
    </row>
    <row r="70" spans="1:33" s="4" customFormat="1" ht="60" x14ac:dyDescent="0.2">
      <c r="A70" s="8">
        <v>60</v>
      </c>
      <c r="B70" s="8" t="s">
        <v>102</v>
      </c>
      <c r="C70" s="8" t="s">
        <v>101</v>
      </c>
      <c r="D70" s="21" t="s">
        <v>1949</v>
      </c>
      <c r="E70" s="10" t="s">
        <v>2034</v>
      </c>
      <c r="F70" s="21" t="s">
        <v>1818</v>
      </c>
      <c r="G70" s="27" t="s">
        <v>1047</v>
      </c>
      <c r="H70" s="11" t="s">
        <v>738</v>
      </c>
      <c r="I70" s="27" t="s">
        <v>531</v>
      </c>
      <c r="J70" s="21" t="s">
        <v>14</v>
      </c>
      <c r="K70" s="43">
        <v>39804</v>
      </c>
      <c r="L70" s="42">
        <v>39891</v>
      </c>
      <c r="M70" s="56">
        <f t="shared" si="14"/>
        <v>87</v>
      </c>
      <c r="N70" s="42">
        <v>40255</v>
      </c>
      <c r="O70" s="56">
        <f t="shared" si="15"/>
        <v>553</v>
      </c>
      <c r="P70" s="42">
        <v>40444</v>
      </c>
      <c r="Q70" s="27" t="s">
        <v>2044</v>
      </c>
      <c r="R70" s="19">
        <v>788725.5</v>
      </c>
      <c r="S70" s="19">
        <v>788725.5</v>
      </c>
      <c r="T70" s="65">
        <v>620694.81999999995</v>
      </c>
      <c r="U70" s="22">
        <v>0</v>
      </c>
      <c r="V70" s="52">
        <f t="shared" si="17"/>
        <v>78.695923993835621</v>
      </c>
      <c r="W70" s="21">
        <v>100</v>
      </c>
      <c r="X70" s="27" t="s">
        <v>519</v>
      </c>
      <c r="Y70" s="460" t="s">
        <v>2237</v>
      </c>
      <c r="Z70" s="27"/>
      <c r="AA70" s="8" t="s">
        <v>2175</v>
      </c>
      <c r="AB70" s="11">
        <v>2</v>
      </c>
      <c r="AC70" s="25">
        <f ca="1">(AD70-L70)/O70*100</f>
        <v>350.09041591320073</v>
      </c>
      <c r="AD70" s="42">
        <f t="shared" ca="1" si="18"/>
        <v>41827</v>
      </c>
    </row>
    <row r="71" spans="1:33" s="349" customFormat="1" ht="90" x14ac:dyDescent="0.2">
      <c r="A71" s="450">
        <v>61</v>
      </c>
      <c r="B71" s="450" t="s">
        <v>102</v>
      </c>
      <c r="C71" s="450" t="s">
        <v>101</v>
      </c>
      <c r="D71" s="336" t="s">
        <v>332</v>
      </c>
      <c r="E71" s="347" t="s">
        <v>916</v>
      </c>
      <c r="F71" s="336" t="s">
        <v>1818</v>
      </c>
      <c r="G71" s="337" t="s">
        <v>1048</v>
      </c>
      <c r="H71" s="345" t="s">
        <v>738</v>
      </c>
      <c r="I71" s="337" t="s">
        <v>529</v>
      </c>
      <c r="J71" s="336" t="s">
        <v>14</v>
      </c>
      <c r="K71" s="348">
        <v>39804</v>
      </c>
      <c r="L71" s="348">
        <v>40074</v>
      </c>
      <c r="M71" s="340">
        <f t="shared" si="14"/>
        <v>270</v>
      </c>
      <c r="N71" s="348">
        <v>40438</v>
      </c>
      <c r="O71" s="340">
        <f t="shared" si="15"/>
        <v>1383</v>
      </c>
      <c r="P71" s="348">
        <v>41457</v>
      </c>
      <c r="Q71" s="337" t="s">
        <v>2306</v>
      </c>
      <c r="R71" s="341">
        <v>977334.6</v>
      </c>
      <c r="S71" s="341">
        <v>1695020.06</v>
      </c>
      <c r="T71" s="342">
        <v>1125886.74</v>
      </c>
      <c r="U71" s="342">
        <v>24433.119999999999</v>
      </c>
      <c r="V71" s="343">
        <f t="shared" si="17"/>
        <v>66.423210354218469</v>
      </c>
      <c r="W71" s="336">
        <v>70.98</v>
      </c>
      <c r="X71" s="337" t="s">
        <v>1283</v>
      </c>
      <c r="Y71" s="463" t="s">
        <v>638</v>
      </c>
      <c r="Z71" s="337"/>
      <c r="AA71" s="345" t="s">
        <v>738</v>
      </c>
      <c r="AB71" s="336">
        <v>2</v>
      </c>
      <c r="AC71" s="344">
        <f ca="1">(AD71-L71)/O71*100</f>
        <v>126.75343456254519</v>
      </c>
      <c r="AD71" s="339">
        <f t="shared" ca="1" si="18"/>
        <v>41827</v>
      </c>
    </row>
    <row r="72" spans="1:33" s="4" customFormat="1" ht="33" customHeight="1" x14ac:dyDescent="0.2">
      <c r="A72" s="517" t="s">
        <v>15</v>
      </c>
      <c r="B72" s="517"/>
      <c r="C72" s="517"/>
      <c r="D72" s="517"/>
      <c r="E72" s="518"/>
      <c r="F72" s="518"/>
      <c r="G72" s="518"/>
      <c r="H72" s="33"/>
      <c r="I72" s="110"/>
      <c r="J72" s="21"/>
      <c r="K72" s="42"/>
      <c r="L72" s="43"/>
      <c r="M72" s="43"/>
      <c r="N72" s="43"/>
      <c r="O72" s="43"/>
      <c r="P72" s="482"/>
      <c r="Q72" s="27"/>
      <c r="R72" s="19"/>
      <c r="S72" s="19"/>
      <c r="T72" s="38"/>
      <c r="U72" s="38"/>
      <c r="V72" s="25"/>
      <c r="W72" s="25"/>
      <c r="X72" s="27"/>
      <c r="Y72" s="465"/>
      <c r="Z72" s="49"/>
      <c r="AA72" s="27"/>
      <c r="AB72" s="207"/>
      <c r="AC72" s="205"/>
      <c r="AD72" s="60"/>
      <c r="AE72" s="60"/>
      <c r="AF72" s="60"/>
    </row>
    <row r="73" spans="1:33" s="53" customFormat="1" ht="75" x14ac:dyDescent="0.2">
      <c r="A73" s="8">
        <v>62</v>
      </c>
      <c r="B73" s="8" t="s">
        <v>102</v>
      </c>
      <c r="C73" s="8" t="s">
        <v>101</v>
      </c>
      <c r="D73" s="21" t="s">
        <v>329</v>
      </c>
      <c r="E73" s="10" t="s">
        <v>167</v>
      </c>
      <c r="F73" s="21" t="s">
        <v>1816</v>
      </c>
      <c r="G73" s="27" t="s">
        <v>1535</v>
      </c>
      <c r="H73" s="33">
        <v>5</v>
      </c>
      <c r="I73" s="27" t="s">
        <v>214</v>
      </c>
      <c r="J73" s="21" t="s">
        <v>2123</v>
      </c>
      <c r="K73" s="42">
        <v>39780</v>
      </c>
      <c r="L73" s="42">
        <v>39832</v>
      </c>
      <c r="M73" s="56">
        <f>L73-K73</f>
        <v>52</v>
      </c>
      <c r="N73" s="42">
        <v>40197</v>
      </c>
      <c r="O73" s="56">
        <f>P73-L73</f>
        <v>1045</v>
      </c>
      <c r="P73" s="42">
        <v>40877</v>
      </c>
      <c r="Q73" s="27" t="s">
        <v>686</v>
      </c>
      <c r="R73" s="19">
        <v>758413.24</v>
      </c>
      <c r="S73" s="19">
        <v>758413.24</v>
      </c>
      <c r="T73" s="22">
        <v>790986.42</v>
      </c>
      <c r="U73" s="22">
        <v>0</v>
      </c>
      <c r="V73" s="52">
        <f>T73/S73*100</f>
        <v>104.2949118346088</v>
      </c>
      <c r="W73" s="21">
        <v>100</v>
      </c>
      <c r="X73" s="27" t="s">
        <v>20</v>
      </c>
      <c r="Y73" s="460" t="s">
        <v>1546</v>
      </c>
      <c r="Z73" s="27"/>
      <c r="AA73" s="11" t="s">
        <v>1187</v>
      </c>
      <c r="AB73" s="21">
        <v>2</v>
      </c>
      <c r="AC73" s="25"/>
      <c r="AD73" s="42">
        <f ca="1">TODAY()</f>
        <v>41827</v>
      </c>
      <c r="AE73" s="60"/>
      <c r="AF73" s="60"/>
      <c r="AG73" s="60"/>
    </row>
    <row r="74" spans="1:33" s="53" customFormat="1" ht="120" x14ac:dyDescent="0.2">
      <c r="A74" s="8">
        <v>63</v>
      </c>
      <c r="B74" s="8" t="s">
        <v>102</v>
      </c>
      <c r="C74" s="8" t="s">
        <v>101</v>
      </c>
      <c r="D74" s="21" t="s">
        <v>329</v>
      </c>
      <c r="E74" s="10" t="s">
        <v>888</v>
      </c>
      <c r="F74" s="21" t="s">
        <v>1816</v>
      </c>
      <c r="G74" s="27" t="s">
        <v>1677</v>
      </c>
      <c r="H74" s="33">
        <v>5</v>
      </c>
      <c r="I74" s="27" t="s">
        <v>224</v>
      </c>
      <c r="J74" s="21" t="s">
        <v>2123</v>
      </c>
      <c r="K74" s="42">
        <v>39780</v>
      </c>
      <c r="L74" s="42">
        <v>39877</v>
      </c>
      <c r="M74" s="56">
        <f>L74-K74</f>
        <v>97</v>
      </c>
      <c r="N74" s="42">
        <v>40242</v>
      </c>
      <c r="O74" s="56">
        <f>P74-L74</f>
        <v>365</v>
      </c>
      <c r="P74" s="42">
        <v>40242</v>
      </c>
      <c r="Q74" s="27" t="s">
        <v>589</v>
      </c>
      <c r="R74" s="19">
        <v>710968.82</v>
      </c>
      <c r="S74" s="19">
        <v>710968.82</v>
      </c>
      <c r="T74" s="22">
        <v>367497.37</v>
      </c>
      <c r="U74" s="22">
        <f>S74-T74</f>
        <v>343471.44999999995</v>
      </c>
      <c r="V74" s="52">
        <f>T74/S74*100</f>
        <v>51.68966059580503</v>
      </c>
      <c r="W74" s="21">
        <v>60</v>
      </c>
      <c r="X74" s="27" t="s">
        <v>2240</v>
      </c>
      <c r="Y74" s="460" t="s">
        <v>0</v>
      </c>
      <c r="Z74" s="27"/>
      <c r="AA74" s="11" t="s">
        <v>1187</v>
      </c>
      <c r="AB74" s="21">
        <v>1</v>
      </c>
      <c r="AC74" s="25"/>
      <c r="AD74" s="42">
        <f ca="1">TODAY()</f>
        <v>41827</v>
      </c>
      <c r="AE74" s="60"/>
      <c r="AF74" s="60"/>
      <c r="AG74" s="60"/>
    </row>
    <row r="75" spans="1:33" s="419" customFormat="1" ht="150" x14ac:dyDescent="0.2">
      <c r="A75" s="450">
        <v>64</v>
      </c>
      <c r="B75" s="450" t="s">
        <v>102</v>
      </c>
      <c r="C75" s="450" t="s">
        <v>101</v>
      </c>
      <c r="D75" s="336" t="s">
        <v>329</v>
      </c>
      <c r="E75" s="347" t="s">
        <v>515</v>
      </c>
      <c r="F75" s="336" t="s">
        <v>1816</v>
      </c>
      <c r="G75" s="337" t="s">
        <v>1678</v>
      </c>
      <c r="H75" s="338">
        <v>6.5</v>
      </c>
      <c r="I75" s="337" t="s">
        <v>1876</v>
      </c>
      <c r="J75" s="336" t="s">
        <v>2123</v>
      </c>
      <c r="K75" s="339">
        <v>39780</v>
      </c>
      <c r="L75" s="339">
        <v>39966</v>
      </c>
      <c r="M75" s="340">
        <f>L75-K75</f>
        <v>186</v>
      </c>
      <c r="N75" s="339">
        <v>40331</v>
      </c>
      <c r="O75" s="340">
        <f>P75-L75</f>
        <v>779</v>
      </c>
      <c r="P75" s="339">
        <v>40745</v>
      </c>
      <c r="Q75" s="337" t="s">
        <v>931</v>
      </c>
      <c r="R75" s="341">
        <v>1170783.3999999999</v>
      </c>
      <c r="S75" s="341">
        <v>1345348.63</v>
      </c>
      <c r="T75" s="341">
        <v>2802428.87</v>
      </c>
      <c r="U75" s="341">
        <v>0</v>
      </c>
      <c r="V75" s="343">
        <f>T75/S75*100</f>
        <v>208.30503019875232</v>
      </c>
      <c r="W75" s="336">
        <v>100</v>
      </c>
      <c r="X75" s="337" t="s">
        <v>2290</v>
      </c>
      <c r="Y75" s="463" t="s">
        <v>1866</v>
      </c>
      <c r="Z75" s="337"/>
      <c r="AA75" s="345" t="s">
        <v>1187</v>
      </c>
      <c r="AB75" s="336">
        <v>1</v>
      </c>
      <c r="AC75" s="344">
        <f ca="1">(AD75-L75)/O75*100</f>
        <v>238.89602053915277</v>
      </c>
      <c r="AD75" s="339">
        <f ca="1">TODAY()</f>
        <v>41827</v>
      </c>
      <c r="AE75" s="365"/>
      <c r="AF75" s="365"/>
      <c r="AG75" s="365"/>
    </row>
    <row r="76" spans="1:33" s="53" customFormat="1" ht="30" x14ac:dyDescent="0.2">
      <c r="A76" s="8">
        <v>65</v>
      </c>
      <c r="B76" s="8" t="s">
        <v>102</v>
      </c>
      <c r="C76" s="8" t="s">
        <v>101</v>
      </c>
      <c r="D76" s="21" t="s">
        <v>1500</v>
      </c>
      <c r="E76" s="10" t="s">
        <v>1094</v>
      </c>
      <c r="F76" s="21" t="s">
        <v>1816</v>
      </c>
      <c r="G76" s="27" t="s">
        <v>1093</v>
      </c>
      <c r="H76" s="33">
        <v>15</v>
      </c>
      <c r="I76" s="27" t="s">
        <v>1092</v>
      </c>
      <c r="J76" s="21" t="s">
        <v>2123</v>
      </c>
      <c r="K76" s="42">
        <v>41235</v>
      </c>
      <c r="L76" s="42">
        <v>41297</v>
      </c>
      <c r="M76" s="56">
        <f>L76-K76</f>
        <v>62</v>
      </c>
      <c r="N76" s="42">
        <v>41662</v>
      </c>
      <c r="O76" s="56">
        <f>P76-L76</f>
        <v>546</v>
      </c>
      <c r="P76" s="42">
        <v>41843</v>
      </c>
      <c r="Q76" s="27"/>
      <c r="R76" s="19">
        <v>4967358.12</v>
      </c>
      <c r="S76" s="19">
        <v>4967358.12</v>
      </c>
      <c r="T76" s="22">
        <v>621294.77</v>
      </c>
      <c r="U76" s="22">
        <f>S76-T76</f>
        <v>4346063.3499999996</v>
      </c>
      <c r="V76" s="52">
        <f>T76/S76*100</f>
        <v>12.507549385225319</v>
      </c>
      <c r="W76" s="21"/>
      <c r="X76" s="27" t="s">
        <v>681</v>
      </c>
      <c r="Y76" s="460"/>
      <c r="Z76" s="27"/>
      <c r="AA76" s="11" t="s">
        <v>1733</v>
      </c>
      <c r="AB76" s="21"/>
      <c r="AC76" s="25">
        <f ca="1">(AD76-L76)/O76*100</f>
        <v>97.069597069597066</v>
      </c>
      <c r="AD76" s="42">
        <f ca="1">TODAY()</f>
        <v>41827</v>
      </c>
    </row>
    <row r="77" spans="1:33" s="516" customFormat="1" ht="135" x14ac:dyDescent="0.2">
      <c r="A77" s="8">
        <v>66</v>
      </c>
      <c r="B77" s="8" t="s">
        <v>102</v>
      </c>
      <c r="C77" s="8" t="s">
        <v>101</v>
      </c>
      <c r="D77" s="502" t="s">
        <v>332</v>
      </c>
      <c r="E77" s="10" t="s">
        <v>672</v>
      </c>
      <c r="F77" s="502" t="s">
        <v>1816</v>
      </c>
      <c r="G77" s="27" t="s">
        <v>673</v>
      </c>
      <c r="H77" s="33">
        <v>10</v>
      </c>
      <c r="I77" s="27" t="s">
        <v>737</v>
      </c>
      <c r="J77" s="502" t="s">
        <v>2123</v>
      </c>
      <c r="K77" s="42">
        <v>41235</v>
      </c>
      <c r="L77" s="42">
        <v>41318</v>
      </c>
      <c r="M77" s="56">
        <f>L77-K77</f>
        <v>83</v>
      </c>
      <c r="N77" s="42">
        <v>41711</v>
      </c>
      <c r="O77" s="56">
        <f>P77-L77</f>
        <v>393</v>
      </c>
      <c r="P77" s="42">
        <v>41711</v>
      </c>
      <c r="Q77" s="27" t="s">
        <v>2263</v>
      </c>
      <c r="R77" s="19">
        <v>4265673.8</v>
      </c>
      <c r="S77" s="19">
        <v>4265673.8</v>
      </c>
      <c r="T77" s="22">
        <v>885318.55</v>
      </c>
      <c r="U77" s="22">
        <f>S77-T77</f>
        <v>3380355.25</v>
      </c>
      <c r="V77" s="503">
        <f>T77/S77*100</f>
        <v>20.754483148711465</v>
      </c>
      <c r="W77" s="502">
        <v>40</v>
      </c>
      <c r="X77" s="27" t="s">
        <v>559</v>
      </c>
      <c r="Y77" s="465" t="s">
        <v>2373</v>
      </c>
      <c r="Z77" s="49"/>
      <c r="AA77" s="513" t="s">
        <v>1853</v>
      </c>
      <c r="AB77" s="504"/>
      <c r="AC77" s="514">
        <f ca="1">(AD77-L77)/O77*100</f>
        <v>129.51653944020356</v>
      </c>
      <c r="AD77" s="515">
        <f ca="1">TODAY()</f>
        <v>41827</v>
      </c>
      <c r="AE77" s="60"/>
      <c r="AF77" s="60"/>
      <c r="AG77" s="60"/>
    </row>
    <row r="78" spans="1:33" s="4" customFormat="1" ht="30.75" customHeight="1" x14ac:dyDescent="0.2">
      <c r="A78" s="517" t="s">
        <v>16</v>
      </c>
      <c r="B78" s="517"/>
      <c r="C78" s="517"/>
      <c r="D78" s="517"/>
      <c r="E78" s="518"/>
      <c r="F78" s="518"/>
      <c r="G78" s="518"/>
      <c r="H78" s="33"/>
      <c r="I78" s="27"/>
      <c r="J78" s="21"/>
      <c r="K78" s="42"/>
      <c r="L78" s="43"/>
      <c r="M78" s="43"/>
      <c r="N78" s="43"/>
      <c r="O78" s="43"/>
      <c r="P78" s="124"/>
      <c r="Q78" s="27"/>
      <c r="R78" s="19"/>
      <c r="S78" s="19"/>
      <c r="T78" s="22"/>
      <c r="U78" s="22"/>
      <c r="V78" s="21"/>
      <c r="W78" s="21"/>
      <c r="X78" s="27"/>
      <c r="Y78" s="460"/>
      <c r="Z78" s="49"/>
      <c r="AA78" s="27"/>
      <c r="AB78" s="21"/>
      <c r="AC78" s="64"/>
      <c r="AF78" s="60"/>
      <c r="AG78" s="60"/>
    </row>
    <row r="79" spans="1:33" s="4" customFormat="1" ht="60" x14ac:dyDescent="0.2">
      <c r="A79" s="8">
        <v>66</v>
      </c>
      <c r="B79" s="8" t="s">
        <v>102</v>
      </c>
      <c r="C79" s="8" t="s">
        <v>101</v>
      </c>
      <c r="D79" s="114" t="s">
        <v>1676</v>
      </c>
      <c r="E79" s="10" t="s">
        <v>584</v>
      </c>
      <c r="F79" s="21" t="s">
        <v>1486</v>
      </c>
      <c r="G79" s="115" t="s">
        <v>2102</v>
      </c>
      <c r="H79" s="33">
        <v>0.6</v>
      </c>
      <c r="I79" s="27" t="s">
        <v>1063</v>
      </c>
      <c r="J79" s="21" t="s">
        <v>2124</v>
      </c>
      <c r="K79" s="42">
        <v>40618</v>
      </c>
      <c r="L79" s="43">
        <v>40681</v>
      </c>
      <c r="M79" s="56">
        <f t="shared" ref="M79:M90" si="19">L79-K79</f>
        <v>63</v>
      </c>
      <c r="N79" s="42">
        <v>40865</v>
      </c>
      <c r="O79" s="56">
        <f t="shared" ref="O79:O90" si="20">P79-L79</f>
        <v>352</v>
      </c>
      <c r="P79" s="42">
        <v>41033</v>
      </c>
      <c r="Q79" s="27" t="s">
        <v>911</v>
      </c>
      <c r="R79" s="19">
        <v>120001.7</v>
      </c>
      <c r="S79" s="19">
        <v>120001.7</v>
      </c>
      <c r="T79" s="22">
        <v>105694.99</v>
      </c>
      <c r="U79" s="22">
        <v>0</v>
      </c>
      <c r="V79" s="52">
        <f t="shared" ref="V79:V90" si="21">T79/S79*100</f>
        <v>88.07791056293371</v>
      </c>
      <c r="W79" s="21">
        <v>100</v>
      </c>
      <c r="X79" s="27" t="s">
        <v>2257</v>
      </c>
      <c r="Y79" s="460" t="s">
        <v>1872</v>
      </c>
      <c r="Z79" s="27"/>
      <c r="AA79" s="11" t="s">
        <v>2101</v>
      </c>
      <c r="AB79" s="21"/>
      <c r="AC79" s="25">
        <f t="shared" ref="AC79:AC90" ca="1" si="22">(AD79-L79)/O79*100</f>
        <v>325.56818181818181</v>
      </c>
      <c r="AD79" s="42">
        <f t="shared" ref="AD79:AD91" ca="1" si="23">TODAY()</f>
        <v>41827</v>
      </c>
    </row>
    <row r="80" spans="1:33" s="349" customFormat="1" ht="45" x14ac:dyDescent="0.2">
      <c r="A80" s="450">
        <v>67</v>
      </c>
      <c r="B80" s="450" t="s">
        <v>102</v>
      </c>
      <c r="C80" s="450" t="s">
        <v>101</v>
      </c>
      <c r="D80" s="350" t="s">
        <v>1676</v>
      </c>
      <c r="E80" s="347" t="s">
        <v>669</v>
      </c>
      <c r="F80" s="336" t="s">
        <v>1817</v>
      </c>
      <c r="G80" s="351" t="s">
        <v>2219</v>
      </c>
      <c r="H80" s="338">
        <v>3.7</v>
      </c>
      <c r="I80" s="337" t="s">
        <v>1821</v>
      </c>
      <c r="J80" s="336" t="s">
        <v>2124</v>
      </c>
      <c r="K80" s="339">
        <v>40618</v>
      </c>
      <c r="L80" s="339">
        <v>40689</v>
      </c>
      <c r="M80" s="340">
        <f t="shared" si="19"/>
        <v>71</v>
      </c>
      <c r="N80" s="339">
        <v>40873</v>
      </c>
      <c r="O80" s="340">
        <f t="shared" si="20"/>
        <v>228</v>
      </c>
      <c r="P80" s="339">
        <v>40917</v>
      </c>
      <c r="Q80" s="337" t="s">
        <v>1992</v>
      </c>
      <c r="R80" s="341">
        <v>172987.32</v>
      </c>
      <c r="S80" s="341">
        <v>172987.32</v>
      </c>
      <c r="T80" s="342">
        <v>153928.62</v>
      </c>
      <c r="U80" s="342">
        <v>0</v>
      </c>
      <c r="V80" s="343">
        <f t="shared" si="21"/>
        <v>88.982602886731812</v>
      </c>
      <c r="W80" s="336">
        <v>100</v>
      </c>
      <c r="X80" s="337" t="s">
        <v>1520</v>
      </c>
      <c r="Y80" s="463" t="s">
        <v>2299</v>
      </c>
      <c r="Z80" s="337"/>
      <c r="AA80" s="345" t="s">
        <v>1446</v>
      </c>
      <c r="AB80" s="336"/>
      <c r="AC80" s="344">
        <f t="shared" ca="1" si="22"/>
        <v>499.12280701754383</v>
      </c>
      <c r="AD80" s="339">
        <f t="shared" ca="1" si="23"/>
        <v>41827</v>
      </c>
    </row>
    <row r="81" spans="1:30" s="349" customFormat="1" ht="69.75" customHeight="1" x14ac:dyDescent="0.2">
      <c r="A81" s="450">
        <v>68</v>
      </c>
      <c r="B81" s="450" t="s">
        <v>102</v>
      </c>
      <c r="C81" s="450" t="s">
        <v>101</v>
      </c>
      <c r="D81" s="350" t="s">
        <v>1500</v>
      </c>
      <c r="E81" s="347" t="s">
        <v>670</v>
      </c>
      <c r="F81" s="336" t="s">
        <v>1817</v>
      </c>
      <c r="G81" s="351" t="s">
        <v>169</v>
      </c>
      <c r="H81" s="338">
        <v>4.2</v>
      </c>
      <c r="I81" s="337" t="s">
        <v>178</v>
      </c>
      <c r="J81" s="336" t="s">
        <v>2124</v>
      </c>
      <c r="K81" s="339">
        <v>40618</v>
      </c>
      <c r="L81" s="339">
        <v>40652</v>
      </c>
      <c r="M81" s="340">
        <f t="shared" si="19"/>
        <v>34</v>
      </c>
      <c r="N81" s="339">
        <v>40835</v>
      </c>
      <c r="O81" s="340">
        <f t="shared" si="20"/>
        <v>257</v>
      </c>
      <c r="P81" s="339">
        <v>40909</v>
      </c>
      <c r="Q81" s="337" t="s">
        <v>2307</v>
      </c>
      <c r="R81" s="341">
        <v>148733.76999999999</v>
      </c>
      <c r="S81" s="341">
        <v>148733.76999999999</v>
      </c>
      <c r="T81" s="342">
        <v>130164.08</v>
      </c>
      <c r="U81" s="342">
        <v>0</v>
      </c>
      <c r="V81" s="343">
        <f t="shared" si="21"/>
        <v>87.514812540554857</v>
      </c>
      <c r="W81" s="336">
        <v>100</v>
      </c>
      <c r="X81" s="337" t="s">
        <v>2302</v>
      </c>
      <c r="Y81" s="463" t="s">
        <v>2238</v>
      </c>
      <c r="Z81" s="337"/>
      <c r="AA81" s="345" t="s">
        <v>757</v>
      </c>
      <c r="AB81" s="336"/>
      <c r="AC81" s="344">
        <f t="shared" ca="1" si="22"/>
        <v>457.19844357976649</v>
      </c>
      <c r="AD81" s="339">
        <f t="shared" ca="1" si="23"/>
        <v>41827</v>
      </c>
    </row>
    <row r="82" spans="1:30" s="349" customFormat="1" ht="75" x14ac:dyDescent="0.2">
      <c r="A82" s="450">
        <v>69</v>
      </c>
      <c r="B82" s="450" t="s">
        <v>102</v>
      </c>
      <c r="C82" s="450" t="s">
        <v>101</v>
      </c>
      <c r="D82" s="350" t="s">
        <v>332</v>
      </c>
      <c r="E82" s="347" t="s">
        <v>457</v>
      </c>
      <c r="F82" s="336" t="s">
        <v>1817</v>
      </c>
      <c r="G82" s="351" t="s">
        <v>727</v>
      </c>
      <c r="H82" s="338">
        <v>4</v>
      </c>
      <c r="I82" s="337" t="s">
        <v>168</v>
      </c>
      <c r="J82" s="336" t="s">
        <v>2124</v>
      </c>
      <c r="K82" s="339">
        <v>40618</v>
      </c>
      <c r="L82" s="339">
        <v>40687</v>
      </c>
      <c r="M82" s="340">
        <f t="shared" si="19"/>
        <v>69</v>
      </c>
      <c r="N82" s="339">
        <v>40871</v>
      </c>
      <c r="O82" s="340">
        <f t="shared" si="20"/>
        <v>184</v>
      </c>
      <c r="P82" s="339">
        <v>40871</v>
      </c>
      <c r="Q82" s="337" t="s">
        <v>249</v>
      </c>
      <c r="R82" s="341">
        <v>161225.26</v>
      </c>
      <c r="S82" s="341">
        <v>161225.26</v>
      </c>
      <c r="T82" s="342">
        <v>142716.57</v>
      </c>
      <c r="U82" s="342">
        <v>0</v>
      </c>
      <c r="V82" s="343">
        <v>100</v>
      </c>
      <c r="W82" s="336">
        <v>100</v>
      </c>
      <c r="X82" s="337" t="s">
        <v>2318</v>
      </c>
      <c r="Y82" s="463" t="s">
        <v>1475</v>
      </c>
      <c r="Z82" s="337"/>
      <c r="AA82" s="345" t="s">
        <v>1498</v>
      </c>
      <c r="AB82" s="336"/>
      <c r="AC82" s="344">
        <f t="shared" ca="1" si="22"/>
        <v>619.56521739130437</v>
      </c>
      <c r="AD82" s="339">
        <f t="shared" ca="1" si="23"/>
        <v>41827</v>
      </c>
    </row>
    <row r="83" spans="1:30" s="4" customFormat="1" ht="45" x14ac:dyDescent="0.2">
      <c r="A83" s="8">
        <v>70</v>
      </c>
      <c r="B83" s="8" t="s">
        <v>102</v>
      </c>
      <c r="C83" s="8" t="s">
        <v>101</v>
      </c>
      <c r="D83" s="114" t="s">
        <v>1965</v>
      </c>
      <c r="E83" s="10" t="s">
        <v>458</v>
      </c>
      <c r="F83" s="21" t="s">
        <v>1817</v>
      </c>
      <c r="G83" s="115" t="s">
        <v>728</v>
      </c>
      <c r="H83" s="33">
        <v>4</v>
      </c>
      <c r="I83" s="27" t="s">
        <v>217</v>
      </c>
      <c r="J83" s="21" t="s">
        <v>2124</v>
      </c>
      <c r="K83" s="42">
        <v>40618</v>
      </c>
      <c r="L83" s="42">
        <v>40682</v>
      </c>
      <c r="M83" s="56">
        <f t="shared" si="19"/>
        <v>64</v>
      </c>
      <c r="N83" s="42">
        <v>40868</v>
      </c>
      <c r="O83" s="56">
        <f t="shared" si="20"/>
        <v>384</v>
      </c>
      <c r="P83" s="42">
        <v>41066</v>
      </c>
      <c r="Q83" s="27" t="s">
        <v>1989</v>
      </c>
      <c r="R83" s="19">
        <v>181648.04</v>
      </c>
      <c r="S83" s="19">
        <v>181648.04</v>
      </c>
      <c r="T83" s="22">
        <v>150855.62</v>
      </c>
      <c r="U83" s="22">
        <v>0</v>
      </c>
      <c r="V83" s="52">
        <f t="shared" si="21"/>
        <v>83.048305943736025</v>
      </c>
      <c r="W83" s="21">
        <v>100</v>
      </c>
      <c r="X83" s="27" t="s">
        <v>2258</v>
      </c>
      <c r="Y83" s="460" t="s">
        <v>725</v>
      </c>
      <c r="Z83" s="27"/>
      <c r="AA83" s="11" t="s">
        <v>2062</v>
      </c>
      <c r="AB83" s="21"/>
      <c r="AC83" s="25">
        <f t="shared" ca="1" si="22"/>
        <v>298.17708333333337</v>
      </c>
      <c r="AD83" s="42">
        <f t="shared" ca="1" si="23"/>
        <v>41827</v>
      </c>
    </row>
    <row r="84" spans="1:30" s="4" customFormat="1" ht="90" x14ac:dyDescent="0.2">
      <c r="A84" s="8">
        <v>71</v>
      </c>
      <c r="B84" s="8" t="s">
        <v>102</v>
      </c>
      <c r="C84" s="8" t="s">
        <v>101</v>
      </c>
      <c r="D84" s="114" t="s">
        <v>1056</v>
      </c>
      <c r="E84" s="10" t="s">
        <v>459</v>
      </c>
      <c r="F84" s="21" t="s">
        <v>1817</v>
      </c>
      <c r="G84" s="115" t="s">
        <v>730</v>
      </c>
      <c r="H84" s="33">
        <v>3.2</v>
      </c>
      <c r="I84" s="27" t="s">
        <v>776</v>
      </c>
      <c r="J84" s="21" t="s">
        <v>2124</v>
      </c>
      <c r="K84" s="42">
        <v>40618</v>
      </c>
      <c r="L84" s="42">
        <v>40681</v>
      </c>
      <c r="M84" s="56">
        <f t="shared" si="19"/>
        <v>63</v>
      </c>
      <c r="N84" s="43">
        <v>40865</v>
      </c>
      <c r="O84" s="56">
        <f t="shared" si="20"/>
        <v>276</v>
      </c>
      <c r="P84" s="43">
        <v>40957</v>
      </c>
      <c r="Q84" s="27" t="s">
        <v>250</v>
      </c>
      <c r="R84" s="19">
        <v>150531.57999999999</v>
      </c>
      <c r="S84" s="19">
        <v>150531.57999999999</v>
      </c>
      <c r="T84" s="22">
        <v>161334.97</v>
      </c>
      <c r="U84" s="22">
        <v>0</v>
      </c>
      <c r="V84" s="52">
        <f t="shared" si="21"/>
        <v>107.17682628455772</v>
      </c>
      <c r="W84" s="21">
        <v>100</v>
      </c>
      <c r="X84" s="27" t="s">
        <v>662</v>
      </c>
      <c r="Y84" s="460" t="s">
        <v>663</v>
      </c>
      <c r="Z84" s="27"/>
      <c r="AA84" s="11" t="s">
        <v>1506</v>
      </c>
      <c r="AB84" s="21"/>
      <c r="AC84" s="25">
        <f t="shared" ca="1" si="22"/>
        <v>415.21739130434787</v>
      </c>
      <c r="AD84" s="42">
        <f t="shared" ca="1" si="23"/>
        <v>41827</v>
      </c>
    </row>
    <row r="85" spans="1:30" s="349" customFormat="1" ht="60" x14ac:dyDescent="0.2">
      <c r="A85" s="450">
        <v>72</v>
      </c>
      <c r="B85" s="450" t="s">
        <v>102</v>
      </c>
      <c r="C85" s="450" t="s">
        <v>101</v>
      </c>
      <c r="D85" s="350" t="s">
        <v>331</v>
      </c>
      <c r="E85" s="347" t="s">
        <v>1102</v>
      </c>
      <c r="F85" s="336" t="s">
        <v>1817</v>
      </c>
      <c r="G85" s="351" t="s">
        <v>731</v>
      </c>
      <c r="H85" s="338">
        <v>5</v>
      </c>
      <c r="I85" s="337" t="s">
        <v>1278</v>
      </c>
      <c r="J85" s="336" t="s">
        <v>2124</v>
      </c>
      <c r="K85" s="339">
        <v>40618</v>
      </c>
      <c r="L85" s="339">
        <v>40746</v>
      </c>
      <c r="M85" s="340">
        <f t="shared" si="19"/>
        <v>128</v>
      </c>
      <c r="N85" s="339">
        <v>40961</v>
      </c>
      <c r="O85" s="340">
        <f t="shared" si="20"/>
        <v>215</v>
      </c>
      <c r="P85" s="339">
        <v>40961</v>
      </c>
      <c r="Q85" s="337" t="s">
        <v>2308</v>
      </c>
      <c r="R85" s="341">
        <v>196767.51</v>
      </c>
      <c r="S85" s="341">
        <v>196767.51</v>
      </c>
      <c r="T85" s="342">
        <v>152036.76999999999</v>
      </c>
      <c r="U85" s="342">
        <v>0</v>
      </c>
      <c r="V85" s="343">
        <f t="shared" si="21"/>
        <v>77.267212457991661</v>
      </c>
      <c r="W85" s="336">
        <v>100</v>
      </c>
      <c r="X85" s="337" t="s">
        <v>1520</v>
      </c>
      <c r="Y85" s="463" t="s">
        <v>2301</v>
      </c>
      <c r="Z85" s="337"/>
      <c r="AA85" s="345" t="s">
        <v>945</v>
      </c>
      <c r="AB85" s="336"/>
      <c r="AC85" s="344">
        <f t="shared" ca="1" si="22"/>
        <v>502.7906976744186</v>
      </c>
      <c r="AD85" s="339">
        <f t="shared" ca="1" si="23"/>
        <v>41827</v>
      </c>
    </row>
    <row r="86" spans="1:30" s="349" customFormat="1" ht="75" x14ac:dyDescent="0.2">
      <c r="A86" s="450">
        <v>73</v>
      </c>
      <c r="B86" s="450" t="s">
        <v>102</v>
      </c>
      <c r="C86" s="450" t="s">
        <v>101</v>
      </c>
      <c r="D86" s="350" t="s">
        <v>1676</v>
      </c>
      <c r="E86" s="347" t="s">
        <v>1103</v>
      </c>
      <c r="F86" s="336" t="s">
        <v>1817</v>
      </c>
      <c r="G86" s="351" t="s">
        <v>1545</v>
      </c>
      <c r="H86" s="338">
        <v>6</v>
      </c>
      <c r="I86" s="337" t="s">
        <v>1984</v>
      </c>
      <c r="J86" s="336" t="s">
        <v>2124</v>
      </c>
      <c r="K86" s="339">
        <v>40618</v>
      </c>
      <c r="L86" s="339">
        <v>40659</v>
      </c>
      <c r="M86" s="340">
        <f t="shared" si="19"/>
        <v>41</v>
      </c>
      <c r="N86" s="348">
        <v>40875</v>
      </c>
      <c r="O86" s="340">
        <f t="shared" si="20"/>
        <v>337</v>
      </c>
      <c r="P86" s="348">
        <v>40996</v>
      </c>
      <c r="Q86" s="337" t="s">
        <v>2265</v>
      </c>
      <c r="R86" s="341">
        <v>223162.64</v>
      </c>
      <c r="S86" s="341">
        <v>223162.64</v>
      </c>
      <c r="T86" s="342">
        <v>208919.21</v>
      </c>
      <c r="U86" s="342">
        <v>0</v>
      </c>
      <c r="V86" s="343">
        <f t="shared" si="21"/>
        <v>93.617466615379698</v>
      </c>
      <c r="W86" s="336">
        <v>100</v>
      </c>
      <c r="X86" s="337" t="s">
        <v>2319</v>
      </c>
      <c r="Y86" s="463" t="s">
        <v>2264</v>
      </c>
      <c r="Z86" s="337"/>
      <c r="AA86" s="345" t="s">
        <v>1193</v>
      </c>
      <c r="AB86" s="336"/>
      <c r="AC86" s="344">
        <f t="shared" ca="1" si="22"/>
        <v>346.58753709198817</v>
      </c>
      <c r="AD86" s="339">
        <f t="shared" ca="1" si="23"/>
        <v>41827</v>
      </c>
    </row>
    <row r="87" spans="1:30" s="349" customFormat="1" ht="105" x14ac:dyDescent="0.2">
      <c r="A87" s="450">
        <v>74</v>
      </c>
      <c r="B87" s="450" t="s">
        <v>102</v>
      </c>
      <c r="C87" s="450" t="s">
        <v>101</v>
      </c>
      <c r="D87" s="350" t="s">
        <v>1949</v>
      </c>
      <c r="E87" s="347" t="s">
        <v>1606</v>
      </c>
      <c r="F87" s="336" t="s">
        <v>1817</v>
      </c>
      <c r="G87" s="351" t="s">
        <v>865</v>
      </c>
      <c r="H87" s="338">
        <v>5</v>
      </c>
      <c r="I87" s="337" t="s">
        <v>679</v>
      </c>
      <c r="J87" s="336" t="s">
        <v>2124</v>
      </c>
      <c r="K87" s="339">
        <v>40618</v>
      </c>
      <c r="L87" s="339">
        <v>40659</v>
      </c>
      <c r="M87" s="340">
        <f t="shared" si="19"/>
        <v>41</v>
      </c>
      <c r="N87" s="348">
        <v>40875</v>
      </c>
      <c r="O87" s="340">
        <f t="shared" si="20"/>
        <v>275</v>
      </c>
      <c r="P87" s="348">
        <v>40934</v>
      </c>
      <c r="Q87" s="337" t="s">
        <v>1504</v>
      </c>
      <c r="R87" s="341">
        <v>210514.14</v>
      </c>
      <c r="S87" s="341">
        <v>210514.14</v>
      </c>
      <c r="T87" s="342">
        <v>190991.12</v>
      </c>
      <c r="U87" s="342">
        <v>0</v>
      </c>
      <c r="V87" s="343">
        <f t="shared" si="21"/>
        <v>90.726029139895289</v>
      </c>
      <c r="W87" s="336">
        <v>100</v>
      </c>
      <c r="X87" s="337" t="s">
        <v>2289</v>
      </c>
      <c r="Y87" s="463" t="s">
        <v>1709</v>
      </c>
      <c r="Z87" s="337"/>
      <c r="AA87" s="345" t="s">
        <v>1505</v>
      </c>
      <c r="AB87" s="336"/>
      <c r="AC87" s="344">
        <f t="shared" ca="1" si="22"/>
        <v>424.72727272727269</v>
      </c>
      <c r="AD87" s="339">
        <f t="shared" ca="1" si="23"/>
        <v>41827</v>
      </c>
    </row>
    <row r="88" spans="1:30" s="349" customFormat="1" ht="60" x14ac:dyDescent="0.2">
      <c r="A88" s="450">
        <v>75</v>
      </c>
      <c r="B88" s="450" t="s">
        <v>102</v>
      </c>
      <c r="C88" s="450" t="s">
        <v>101</v>
      </c>
      <c r="D88" s="350" t="s">
        <v>329</v>
      </c>
      <c r="E88" s="347" t="s">
        <v>1607</v>
      </c>
      <c r="F88" s="336" t="s">
        <v>1817</v>
      </c>
      <c r="G88" s="351" t="s">
        <v>866</v>
      </c>
      <c r="H88" s="338">
        <v>4</v>
      </c>
      <c r="I88" s="337" t="s">
        <v>844</v>
      </c>
      <c r="J88" s="336" t="s">
        <v>2124</v>
      </c>
      <c r="K88" s="339">
        <v>40618</v>
      </c>
      <c r="L88" s="339">
        <v>40661</v>
      </c>
      <c r="M88" s="340">
        <f t="shared" si="19"/>
        <v>43</v>
      </c>
      <c r="N88" s="348">
        <v>40875</v>
      </c>
      <c r="O88" s="340">
        <f t="shared" si="20"/>
        <v>335</v>
      </c>
      <c r="P88" s="348">
        <v>40996</v>
      </c>
      <c r="Q88" s="337" t="s">
        <v>2275</v>
      </c>
      <c r="R88" s="341">
        <v>224861.99</v>
      </c>
      <c r="S88" s="341">
        <v>224861.99</v>
      </c>
      <c r="T88" s="342">
        <v>198586.54</v>
      </c>
      <c r="U88" s="342">
        <v>0</v>
      </c>
      <c r="V88" s="343">
        <v>84.62</v>
      </c>
      <c r="W88" s="336">
        <v>100</v>
      </c>
      <c r="X88" s="337" t="s">
        <v>2279</v>
      </c>
      <c r="Y88" s="463" t="s">
        <v>2270</v>
      </c>
      <c r="Z88" s="337"/>
      <c r="AA88" s="345" t="s">
        <v>1912</v>
      </c>
      <c r="AB88" s="336">
        <v>3</v>
      </c>
      <c r="AC88" s="344">
        <f t="shared" ca="1" si="22"/>
        <v>348.05970149253733</v>
      </c>
      <c r="AD88" s="339">
        <f t="shared" ca="1" si="23"/>
        <v>41827</v>
      </c>
    </row>
    <row r="89" spans="1:30" s="4" customFormat="1" ht="60" x14ac:dyDescent="0.2">
      <c r="A89" s="8">
        <v>76</v>
      </c>
      <c r="B89" s="8" t="s">
        <v>102</v>
      </c>
      <c r="C89" s="8" t="s">
        <v>101</v>
      </c>
      <c r="D89" s="114" t="s">
        <v>330</v>
      </c>
      <c r="E89" s="10" t="s">
        <v>376</v>
      </c>
      <c r="F89" s="21" t="s">
        <v>1817</v>
      </c>
      <c r="G89" s="115" t="s">
        <v>1911</v>
      </c>
      <c r="H89" s="33">
        <v>6.7</v>
      </c>
      <c r="I89" s="27" t="s">
        <v>1988</v>
      </c>
      <c r="J89" s="21" t="s">
        <v>2124</v>
      </c>
      <c r="K89" s="42">
        <v>40618</v>
      </c>
      <c r="L89" s="42">
        <v>40693</v>
      </c>
      <c r="M89" s="56">
        <f t="shared" si="19"/>
        <v>75</v>
      </c>
      <c r="N89" s="43">
        <v>40907</v>
      </c>
      <c r="O89" s="56">
        <f t="shared" si="20"/>
        <v>214</v>
      </c>
      <c r="P89" s="43">
        <v>40907</v>
      </c>
      <c r="Q89" s="27" t="s">
        <v>2032</v>
      </c>
      <c r="R89" s="19">
        <v>217558.04</v>
      </c>
      <c r="S89" s="19">
        <v>217558.04</v>
      </c>
      <c r="T89" s="22">
        <v>198471.69</v>
      </c>
      <c r="U89" s="22">
        <v>0</v>
      </c>
      <c r="V89" s="52">
        <f t="shared" si="21"/>
        <v>91.227007744691946</v>
      </c>
      <c r="W89" s="21">
        <v>100</v>
      </c>
      <c r="X89" s="27" t="s">
        <v>2259</v>
      </c>
      <c r="Y89" s="460" t="s">
        <v>2031</v>
      </c>
      <c r="Z89" s="27"/>
      <c r="AA89" s="11" t="s">
        <v>2192</v>
      </c>
      <c r="AB89" s="21"/>
      <c r="AC89" s="25">
        <f t="shared" ca="1" si="22"/>
        <v>529.90654205607473</v>
      </c>
      <c r="AD89" s="42">
        <f t="shared" ca="1" si="23"/>
        <v>41827</v>
      </c>
    </row>
    <row r="90" spans="1:30" s="349" customFormat="1" ht="90" x14ac:dyDescent="0.2">
      <c r="A90" s="450">
        <v>77</v>
      </c>
      <c r="B90" s="450" t="s">
        <v>102</v>
      </c>
      <c r="C90" s="450" t="s">
        <v>101</v>
      </c>
      <c r="D90" s="350" t="s">
        <v>1521</v>
      </c>
      <c r="E90" s="347" t="s">
        <v>377</v>
      </c>
      <c r="F90" s="336" t="s">
        <v>1817</v>
      </c>
      <c r="G90" s="351" t="s">
        <v>936</v>
      </c>
      <c r="H90" s="338">
        <v>9.3000000000000007</v>
      </c>
      <c r="I90" s="337" t="s">
        <v>713</v>
      </c>
      <c r="J90" s="336" t="s">
        <v>2124</v>
      </c>
      <c r="K90" s="339">
        <v>40618</v>
      </c>
      <c r="L90" s="339">
        <v>40674</v>
      </c>
      <c r="M90" s="340">
        <f t="shared" si="19"/>
        <v>56</v>
      </c>
      <c r="N90" s="348">
        <v>40875</v>
      </c>
      <c r="O90" s="340">
        <f t="shared" si="20"/>
        <v>201</v>
      </c>
      <c r="P90" s="348">
        <v>40875</v>
      </c>
      <c r="Q90" s="337" t="s">
        <v>1397</v>
      </c>
      <c r="R90" s="341">
        <v>230074.83</v>
      </c>
      <c r="S90" s="341">
        <v>230074.83</v>
      </c>
      <c r="T90" s="342">
        <v>175973.74</v>
      </c>
      <c r="U90" s="342">
        <v>0</v>
      </c>
      <c r="V90" s="343">
        <f t="shared" si="21"/>
        <v>76.485437368355335</v>
      </c>
      <c r="W90" s="336">
        <v>100</v>
      </c>
      <c r="X90" s="337" t="s">
        <v>2325</v>
      </c>
      <c r="Y90" s="463" t="s">
        <v>171</v>
      </c>
      <c r="Z90" s="337"/>
      <c r="AA90" s="345" t="s">
        <v>2103</v>
      </c>
      <c r="AB90" s="336"/>
      <c r="AC90" s="344">
        <f t="shared" ca="1" si="22"/>
        <v>573.6318407960199</v>
      </c>
      <c r="AD90" s="339">
        <f t="shared" ca="1" si="23"/>
        <v>41827</v>
      </c>
    </row>
    <row r="91" spans="1:30" s="292" customFormat="1" ht="60" x14ac:dyDescent="0.2">
      <c r="A91" s="443">
        <v>78</v>
      </c>
      <c r="B91" s="443" t="s">
        <v>102</v>
      </c>
      <c r="C91" s="443" t="s">
        <v>101</v>
      </c>
      <c r="D91" s="445" t="s">
        <v>1676</v>
      </c>
      <c r="E91" s="435" t="s">
        <v>378</v>
      </c>
      <c r="F91" s="289" t="s">
        <v>1486</v>
      </c>
      <c r="G91" s="446" t="s">
        <v>937</v>
      </c>
      <c r="H91" s="437">
        <v>7</v>
      </c>
      <c r="I91" s="436" t="s">
        <v>680</v>
      </c>
      <c r="J91" s="289" t="s">
        <v>2124</v>
      </c>
      <c r="K91" s="438">
        <v>40618</v>
      </c>
      <c r="L91" s="438">
        <v>40682</v>
      </c>
      <c r="M91" s="440">
        <f>L91-K91</f>
        <v>64</v>
      </c>
      <c r="N91" s="439">
        <v>40896</v>
      </c>
      <c r="O91" s="440">
        <f>P91-L91</f>
        <v>305</v>
      </c>
      <c r="P91" s="439">
        <v>40987</v>
      </c>
      <c r="Q91" s="436" t="s">
        <v>1105</v>
      </c>
      <c r="R91" s="290">
        <v>247006.92</v>
      </c>
      <c r="S91" s="290">
        <v>247006.92</v>
      </c>
      <c r="T91" s="291">
        <v>216880.54</v>
      </c>
      <c r="U91" s="291">
        <v>0</v>
      </c>
      <c r="V91" s="441">
        <f>T91/S91*100</f>
        <v>87.803426721810069</v>
      </c>
      <c r="W91" s="289">
        <v>100</v>
      </c>
      <c r="X91" s="436" t="s">
        <v>2371</v>
      </c>
      <c r="Y91" s="462" t="s">
        <v>1104</v>
      </c>
      <c r="Z91" s="436"/>
      <c r="AA91" s="444" t="s">
        <v>812</v>
      </c>
      <c r="AB91" s="289"/>
      <c r="AC91" s="442">
        <f ca="1">(AD91-L91)/O91*100</f>
        <v>375.40983606557376</v>
      </c>
      <c r="AD91" s="438">
        <f t="shared" ca="1" si="23"/>
        <v>41827</v>
      </c>
    </row>
    <row r="92" spans="1:30" s="292" customFormat="1" ht="60" x14ac:dyDescent="0.2">
      <c r="A92" s="443">
        <v>79</v>
      </c>
      <c r="B92" s="443" t="s">
        <v>102</v>
      </c>
      <c r="C92" s="443" t="s">
        <v>101</v>
      </c>
      <c r="D92" s="445" t="s">
        <v>1056</v>
      </c>
      <c r="E92" s="435" t="s">
        <v>1954</v>
      </c>
      <c r="F92" s="289" t="s">
        <v>1816</v>
      </c>
      <c r="G92" s="446" t="s">
        <v>1339</v>
      </c>
      <c r="H92" s="437">
        <v>5</v>
      </c>
      <c r="I92" s="436" t="s">
        <v>1953</v>
      </c>
      <c r="J92" s="289" t="s">
        <v>2124</v>
      </c>
      <c r="K92" s="438">
        <v>41235</v>
      </c>
      <c r="L92" s="438"/>
      <c r="M92" s="440"/>
      <c r="N92" s="439"/>
      <c r="O92" s="440"/>
      <c r="P92" s="439"/>
      <c r="Q92" s="436"/>
      <c r="R92" s="290">
        <v>2147734.2000000002</v>
      </c>
      <c r="S92" s="290">
        <v>2147734.2000000002</v>
      </c>
      <c r="T92" s="291"/>
      <c r="U92" s="291"/>
      <c r="V92" s="441"/>
      <c r="W92" s="289"/>
      <c r="X92" s="436" t="s">
        <v>2366</v>
      </c>
      <c r="Y92" s="462"/>
      <c r="Z92" s="436"/>
      <c r="AA92" s="444"/>
      <c r="AB92" s="289"/>
      <c r="AC92" s="442"/>
      <c r="AD92" s="438"/>
    </row>
    <row r="93" spans="1:30" s="292" customFormat="1" ht="60" x14ac:dyDescent="0.2">
      <c r="A93" s="443">
        <v>80</v>
      </c>
      <c r="B93" s="443" t="s">
        <v>102</v>
      </c>
      <c r="C93" s="443" t="s">
        <v>101</v>
      </c>
      <c r="D93" s="445" t="s">
        <v>1056</v>
      </c>
      <c r="E93" s="435" t="s">
        <v>1331</v>
      </c>
      <c r="F93" s="289" t="s">
        <v>1486</v>
      </c>
      <c r="G93" s="446" t="s">
        <v>692</v>
      </c>
      <c r="H93" s="437">
        <v>6.9</v>
      </c>
      <c r="I93" s="436" t="s">
        <v>693</v>
      </c>
      <c r="J93" s="289" t="s">
        <v>2124</v>
      </c>
      <c r="K93" s="438">
        <v>41317</v>
      </c>
      <c r="L93" s="438"/>
      <c r="M93" s="440"/>
      <c r="N93" s="439"/>
      <c r="O93" s="440"/>
      <c r="P93" s="439"/>
      <c r="Q93" s="436"/>
      <c r="R93" s="290">
        <f>470577.1+80417.8</f>
        <v>550994.9</v>
      </c>
      <c r="S93" s="290">
        <f>470577.1+80417.8</f>
        <v>550994.9</v>
      </c>
      <c r="T93" s="291"/>
      <c r="U93" s="291"/>
      <c r="V93" s="441"/>
      <c r="W93" s="289"/>
      <c r="X93" s="436" t="s">
        <v>2366</v>
      </c>
      <c r="Y93" s="462"/>
      <c r="Z93" s="436"/>
      <c r="AA93" s="444"/>
      <c r="AB93" s="289"/>
      <c r="AC93" s="442"/>
      <c r="AD93" s="438"/>
    </row>
    <row r="94" spans="1:30" s="292" customFormat="1" ht="30" x14ac:dyDescent="0.2">
      <c r="A94" s="443">
        <v>81</v>
      </c>
      <c r="B94" s="443" t="s">
        <v>102</v>
      </c>
      <c r="C94" s="443" t="s">
        <v>101</v>
      </c>
      <c r="D94" s="445" t="s">
        <v>1056</v>
      </c>
      <c r="E94" s="435" t="s">
        <v>1330</v>
      </c>
      <c r="F94" s="289" t="s">
        <v>1486</v>
      </c>
      <c r="G94" s="446" t="s">
        <v>694</v>
      </c>
      <c r="H94" s="437">
        <v>5.3</v>
      </c>
      <c r="I94" s="436" t="s">
        <v>695</v>
      </c>
      <c r="J94" s="289" t="s">
        <v>2124</v>
      </c>
      <c r="K94" s="438">
        <v>41317</v>
      </c>
      <c r="L94" s="438"/>
      <c r="M94" s="440"/>
      <c r="N94" s="439"/>
      <c r="O94" s="440"/>
      <c r="P94" s="439"/>
      <c r="Q94" s="436"/>
      <c r="R94" s="290">
        <f>481578.09+83046</f>
        <v>564624.09000000008</v>
      </c>
      <c r="S94" s="290">
        <f>481578.09+83046</f>
        <v>564624.09000000008</v>
      </c>
      <c r="T94" s="291"/>
      <c r="U94" s="291"/>
      <c r="V94" s="441"/>
      <c r="W94" s="289"/>
      <c r="X94" s="436" t="s">
        <v>681</v>
      </c>
      <c r="Y94" s="462"/>
      <c r="Z94" s="436"/>
      <c r="AA94" s="444"/>
      <c r="AB94" s="289"/>
      <c r="AC94" s="442"/>
      <c r="AD94" s="438"/>
    </row>
    <row r="95" spans="1:30" s="292" customFormat="1" ht="30" x14ac:dyDescent="0.2">
      <c r="A95" s="443">
        <v>82</v>
      </c>
      <c r="B95" s="443" t="s">
        <v>102</v>
      </c>
      <c r="C95" s="443" t="s">
        <v>101</v>
      </c>
      <c r="D95" s="445" t="s">
        <v>1056</v>
      </c>
      <c r="E95" s="435" t="s">
        <v>1329</v>
      </c>
      <c r="F95" s="289" t="s">
        <v>1486</v>
      </c>
      <c r="G95" s="446" t="s">
        <v>1256</v>
      </c>
      <c r="H95" s="437">
        <v>3.25</v>
      </c>
      <c r="I95" s="436" t="s">
        <v>1257</v>
      </c>
      <c r="J95" s="289" t="s">
        <v>2124</v>
      </c>
      <c r="K95" s="438">
        <v>41317</v>
      </c>
      <c r="L95" s="438"/>
      <c r="M95" s="440"/>
      <c r="N95" s="439"/>
      <c r="O95" s="440"/>
      <c r="P95" s="439"/>
      <c r="Q95" s="436"/>
      <c r="R95" s="290">
        <f xml:space="preserve"> 328810.6+52885.6</f>
        <v>381696.19999999995</v>
      </c>
      <c r="S95" s="290">
        <f xml:space="preserve"> 328810.6+52885.6</f>
        <v>381696.19999999995</v>
      </c>
      <c r="T95" s="291"/>
      <c r="U95" s="291"/>
      <c r="V95" s="441"/>
      <c r="W95" s="289"/>
      <c r="X95" s="436" t="s">
        <v>681</v>
      </c>
      <c r="Y95" s="462"/>
      <c r="Z95" s="436"/>
      <c r="AA95" s="444"/>
      <c r="AB95" s="289"/>
      <c r="AC95" s="442"/>
      <c r="AD95" s="438"/>
    </row>
    <row r="96" spans="1:30" s="292" customFormat="1" ht="60" x14ac:dyDescent="0.2">
      <c r="A96" s="443">
        <v>83</v>
      </c>
      <c r="B96" s="443" t="s">
        <v>102</v>
      </c>
      <c r="C96" s="443" t="s">
        <v>101</v>
      </c>
      <c r="D96" s="445" t="s">
        <v>1056</v>
      </c>
      <c r="E96" s="435" t="s">
        <v>1328</v>
      </c>
      <c r="F96" s="289" t="s">
        <v>1486</v>
      </c>
      <c r="G96" s="446" t="s">
        <v>1258</v>
      </c>
      <c r="H96" s="437">
        <v>6</v>
      </c>
      <c r="I96" s="436" t="s">
        <v>217</v>
      </c>
      <c r="J96" s="289" t="s">
        <v>2124</v>
      </c>
      <c r="K96" s="438">
        <v>41317</v>
      </c>
      <c r="L96" s="438"/>
      <c r="M96" s="440"/>
      <c r="N96" s="439"/>
      <c r="O96" s="440"/>
      <c r="P96" s="439"/>
      <c r="Q96" s="436"/>
      <c r="R96" s="290">
        <f>440828.1+74892.12</f>
        <v>515720.22</v>
      </c>
      <c r="S96" s="290">
        <f>440828.1+74892.12</f>
        <v>515720.22</v>
      </c>
      <c r="T96" s="291"/>
      <c r="U96" s="291"/>
      <c r="V96" s="441"/>
      <c r="W96" s="289"/>
      <c r="X96" s="436" t="s">
        <v>2366</v>
      </c>
      <c r="Y96" s="462"/>
      <c r="Z96" s="436"/>
      <c r="AA96" s="444"/>
      <c r="AB96" s="289"/>
      <c r="AC96" s="442"/>
      <c r="AD96" s="438"/>
    </row>
    <row r="97" spans="1:32" s="292" customFormat="1" ht="30" x14ac:dyDescent="0.2">
      <c r="A97" s="443">
        <v>84</v>
      </c>
      <c r="B97" s="443" t="s">
        <v>102</v>
      </c>
      <c r="C97" s="443" t="s">
        <v>101</v>
      </c>
      <c r="D97" s="445" t="s">
        <v>1056</v>
      </c>
      <c r="E97" s="435" t="s">
        <v>1261</v>
      </c>
      <c r="F97" s="289" t="s">
        <v>1817</v>
      </c>
      <c r="G97" s="446" t="s">
        <v>1259</v>
      </c>
      <c r="H97" s="437">
        <v>3.45</v>
      </c>
      <c r="I97" s="436" t="s">
        <v>1260</v>
      </c>
      <c r="J97" s="289" t="s">
        <v>2124</v>
      </c>
      <c r="K97" s="438">
        <v>41317</v>
      </c>
      <c r="L97" s="438"/>
      <c r="M97" s="440"/>
      <c r="N97" s="439"/>
      <c r="O97" s="440"/>
      <c r="P97" s="439"/>
      <c r="Q97" s="436"/>
      <c r="R97" s="290">
        <f>392995.03+63259.88</f>
        <v>456254.91000000003</v>
      </c>
      <c r="S97" s="290">
        <f>392995.03+63259.88</f>
        <v>456254.91000000003</v>
      </c>
      <c r="T97" s="291"/>
      <c r="U97" s="291"/>
      <c r="V97" s="441"/>
      <c r="W97" s="289"/>
      <c r="X97" s="436" t="s">
        <v>681</v>
      </c>
      <c r="Y97" s="462"/>
      <c r="Z97" s="436"/>
      <c r="AA97" s="444"/>
      <c r="AB97" s="289"/>
      <c r="AC97" s="442"/>
      <c r="AD97" s="438"/>
    </row>
    <row r="98" spans="1:32" s="292" customFormat="1" ht="45" x14ac:dyDescent="0.2">
      <c r="A98" s="443">
        <v>85</v>
      </c>
      <c r="B98" s="443" t="s">
        <v>102</v>
      </c>
      <c r="C98" s="443" t="s">
        <v>101</v>
      </c>
      <c r="D98" s="445" t="s">
        <v>1056</v>
      </c>
      <c r="E98" s="435" t="s">
        <v>1341</v>
      </c>
      <c r="F98" s="289" t="s">
        <v>1486</v>
      </c>
      <c r="G98" s="446" t="s">
        <v>1340</v>
      </c>
      <c r="H98" s="437">
        <v>9.9499999999999993</v>
      </c>
      <c r="I98" s="436" t="s">
        <v>650</v>
      </c>
      <c r="J98" s="289" t="s">
        <v>2124</v>
      </c>
      <c r="K98" s="438">
        <v>41317</v>
      </c>
      <c r="L98" s="438"/>
      <c r="M98" s="440"/>
      <c r="N98" s="439"/>
      <c r="O98" s="440"/>
      <c r="P98" s="439"/>
      <c r="Q98" s="436"/>
      <c r="R98" s="290">
        <f>528061.66+92464.23</f>
        <v>620525.89</v>
      </c>
      <c r="S98" s="290">
        <f>528061.66+92464.23</f>
        <v>620525.89</v>
      </c>
      <c r="T98" s="291"/>
      <c r="U98" s="291"/>
      <c r="V98" s="441"/>
      <c r="W98" s="289">
        <v>20</v>
      </c>
      <c r="X98" s="436" t="s">
        <v>1283</v>
      </c>
      <c r="Y98" s="462" t="s">
        <v>2327</v>
      </c>
      <c r="Z98" s="436"/>
      <c r="AA98" s="444"/>
      <c r="AB98" s="289"/>
      <c r="AC98" s="442"/>
      <c r="AD98" s="438"/>
    </row>
    <row r="99" spans="1:32" s="292" customFormat="1" ht="30" x14ac:dyDescent="0.2">
      <c r="A99" s="443">
        <v>86</v>
      </c>
      <c r="B99" s="443" t="s">
        <v>102</v>
      </c>
      <c r="C99" s="443" t="s">
        <v>101</v>
      </c>
      <c r="D99" s="445" t="s">
        <v>1056</v>
      </c>
      <c r="E99" s="435" t="s">
        <v>1334</v>
      </c>
      <c r="F99" s="289" t="s">
        <v>1816</v>
      </c>
      <c r="G99" s="446" t="s">
        <v>1332</v>
      </c>
      <c r="H99" s="437">
        <v>4.7</v>
      </c>
      <c r="I99" s="436" t="s">
        <v>1876</v>
      </c>
      <c r="J99" s="289" t="s">
        <v>2124</v>
      </c>
      <c r="K99" s="438">
        <v>41317</v>
      </c>
      <c r="L99" s="438"/>
      <c r="M99" s="440"/>
      <c r="N99" s="439"/>
      <c r="O99" s="440"/>
      <c r="P99" s="439"/>
      <c r="Q99" s="436"/>
      <c r="R99" s="290">
        <f>1072586.4+200983.42</f>
        <v>1273569.8199999998</v>
      </c>
      <c r="S99" s="290">
        <f>1072586.4+200983.42</f>
        <v>1273569.8199999998</v>
      </c>
      <c r="T99" s="291"/>
      <c r="U99" s="291"/>
      <c r="V99" s="441"/>
      <c r="W99" s="289"/>
      <c r="X99" s="436" t="s">
        <v>681</v>
      </c>
      <c r="Y99" s="462"/>
      <c r="Z99" s="436"/>
      <c r="AA99" s="444"/>
      <c r="AB99" s="289"/>
      <c r="AC99" s="442"/>
      <c r="AD99" s="438"/>
    </row>
    <row r="100" spans="1:32" s="292" customFormat="1" ht="30" x14ac:dyDescent="0.2">
      <c r="A100" s="443">
        <v>87</v>
      </c>
      <c r="B100" s="443" t="s">
        <v>102</v>
      </c>
      <c r="C100" s="443" t="s">
        <v>101</v>
      </c>
      <c r="D100" s="445" t="s">
        <v>1056</v>
      </c>
      <c r="E100" s="435" t="s">
        <v>1335</v>
      </c>
      <c r="F100" s="289" t="s">
        <v>1486</v>
      </c>
      <c r="G100" s="446" t="s">
        <v>1333</v>
      </c>
      <c r="H100" s="437">
        <v>9.4</v>
      </c>
      <c r="I100" s="436" t="s">
        <v>2120</v>
      </c>
      <c r="J100" s="289" t="s">
        <v>2124</v>
      </c>
      <c r="K100" s="438">
        <v>41317</v>
      </c>
      <c r="L100" s="438"/>
      <c r="M100" s="440"/>
      <c r="N100" s="439"/>
      <c r="O100" s="440"/>
      <c r="P100" s="439"/>
      <c r="Q100" s="436"/>
      <c r="R100" s="290">
        <f>406880.56+70274.94</f>
        <v>477155.5</v>
      </c>
      <c r="S100" s="290">
        <f>406880.56+70274.94</f>
        <v>477155.5</v>
      </c>
      <c r="T100" s="291"/>
      <c r="U100" s="291"/>
      <c r="V100" s="441"/>
      <c r="W100" s="289"/>
      <c r="X100" s="436" t="s">
        <v>681</v>
      </c>
      <c r="Y100" s="462"/>
      <c r="Z100" s="436"/>
      <c r="AA100" s="444"/>
      <c r="AB100" s="289"/>
      <c r="AC100" s="442"/>
      <c r="AD100" s="438"/>
    </row>
    <row r="101" spans="1:32" s="292" customFormat="1" ht="30" x14ac:dyDescent="0.2">
      <c r="A101" s="443">
        <v>88</v>
      </c>
      <c r="B101" s="443" t="s">
        <v>102</v>
      </c>
      <c r="C101" s="443" t="s">
        <v>101</v>
      </c>
      <c r="D101" s="445" t="s">
        <v>1056</v>
      </c>
      <c r="E101" s="435" t="s">
        <v>1336</v>
      </c>
      <c r="F101" s="289" t="s">
        <v>1486</v>
      </c>
      <c r="G101" s="446" t="s">
        <v>1337</v>
      </c>
      <c r="H101" s="437">
        <v>3.55</v>
      </c>
      <c r="I101" s="436" t="s">
        <v>1338</v>
      </c>
      <c r="J101" s="289" t="s">
        <v>2124</v>
      </c>
      <c r="K101" s="438">
        <v>41317</v>
      </c>
      <c r="L101" s="438"/>
      <c r="M101" s="440"/>
      <c r="N101" s="439"/>
      <c r="O101" s="440"/>
      <c r="P101" s="439"/>
      <c r="Q101" s="436"/>
      <c r="R101" s="290">
        <f>479923.51+82989.16</f>
        <v>562912.67000000004</v>
      </c>
      <c r="S101" s="290">
        <f>479923.51+82989.16</f>
        <v>562912.67000000004</v>
      </c>
      <c r="T101" s="291"/>
      <c r="U101" s="291"/>
      <c r="V101" s="441"/>
      <c r="W101" s="289"/>
      <c r="X101" s="436" t="s">
        <v>681</v>
      </c>
      <c r="Y101" s="462"/>
      <c r="Z101" s="436"/>
      <c r="AA101" s="444"/>
      <c r="AB101" s="289"/>
      <c r="AC101" s="442"/>
      <c r="AD101" s="438"/>
    </row>
    <row r="102" spans="1:32" s="4" customFormat="1" ht="33" customHeight="1" x14ac:dyDescent="0.2">
      <c r="A102" s="517" t="s">
        <v>17</v>
      </c>
      <c r="B102" s="517"/>
      <c r="C102" s="517"/>
      <c r="D102" s="517"/>
      <c r="E102" s="518"/>
      <c r="F102" s="518"/>
      <c r="G102" s="518"/>
      <c r="H102" s="33"/>
      <c r="I102" s="110"/>
      <c r="J102" s="21"/>
      <c r="K102" s="42"/>
      <c r="L102" s="43"/>
      <c r="M102" s="43"/>
      <c r="N102" s="43"/>
      <c r="O102" s="43"/>
      <c r="P102" s="482"/>
      <c r="Q102" s="27"/>
      <c r="R102" s="19"/>
      <c r="S102" s="19"/>
      <c r="T102" s="38"/>
      <c r="U102" s="38"/>
      <c r="V102" s="25"/>
      <c r="W102" s="25"/>
      <c r="X102" s="27"/>
      <c r="Y102" s="465"/>
      <c r="Z102" s="49"/>
      <c r="AA102" s="59"/>
      <c r="AB102" s="207"/>
      <c r="AC102" s="205"/>
      <c r="AD102" s="60"/>
      <c r="AE102" s="60"/>
      <c r="AF102" s="60"/>
    </row>
    <row r="103" spans="1:32" s="64" customFormat="1" ht="45" x14ac:dyDescent="0.2">
      <c r="A103" s="8">
        <v>89</v>
      </c>
      <c r="B103" s="8" t="s">
        <v>102</v>
      </c>
      <c r="C103" s="8" t="s">
        <v>101</v>
      </c>
      <c r="D103" s="21" t="s">
        <v>330</v>
      </c>
      <c r="E103" s="10" t="s">
        <v>1488</v>
      </c>
      <c r="F103" s="21" t="s">
        <v>1486</v>
      </c>
      <c r="G103" s="27" t="s">
        <v>920</v>
      </c>
      <c r="H103" s="33">
        <v>10.7</v>
      </c>
      <c r="I103" s="27" t="s">
        <v>1681</v>
      </c>
      <c r="J103" s="21" t="s">
        <v>1820</v>
      </c>
      <c r="K103" s="42">
        <v>40584</v>
      </c>
      <c r="L103" s="42">
        <v>40620</v>
      </c>
      <c r="M103" s="56">
        <f>L103-K103</f>
        <v>36</v>
      </c>
      <c r="N103" s="42">
        <v>40986</v>
      </c>
      <c r="O103" s="56">
        <f>P103-L103</f>
        <v>580</v>
      </c>
      <c r="P103" s="42">
        <v>41200</v>
      </c>
      <c r="Q103" s="27"/>
      <c r="R103" s="19">
        <v>635630.43999999994</v>
      </c>
      <c r="S103" s="19">
        <v>635630.43999999994</v>
      </c>
      <c r="T103" s="19">
        <v>132463.5</v>
      </c>
      <c r="U103" s="22">
        <f>S103-T103</f>
        <v>503166.93999999994</v>
      </c>
      <c r="V103" s="52">
        <f>T103/S103*100</f>
        <v>20.839703649183321</v>
      </c>
      <c r="W103" s="25">
        <v>25</v>
      </c>
      <c r="X103" s="27" t="s">
        <v>1533</v>
      </c>
      <c r="Y103" s="460" t="s">
        <v>639</v>
      </c>
      <c r="Z103" s="27"/>
      <c r="AA103" s="11" t="s">
        <v>2193</v>
      </c>
      <c r="AB103" s="37"/>
      <c r="AC103" s="25">
        <f ca="1">(AD103-L103)/O103*100</f>
        <v>208.10344827586209</v>
      </c>
      <c r="AD103" s="42">
        <f ca="1">TODAY()</f>
        <v>41827</v>
      </c>
    </row>
    <row r="104" spans="1:32" s="64" customFormat="1" ht="75" x14ac:dyDescent="0.2">
      <c r="A104" s="8">
        <v>90</v>
      </c>
      <c r="B104" s="8" t="s">
        <v>102</v>
      </c>
      <c r="C104" s="8" t="s">
        <v>101</v>
      </c>
      <c r="D104" s="21" t="s">
        <v>1965</v>
      </c>
      <c r="E104" s="10" t="s">
        <v>1302</v>
      </c>
      <c r="F104" s="21" t="s">
        <v>1817</v>
      </c>
      <c r="G104" s="27" t="s">
        <v>1833</v>
      </c>
      <c r="H104" s="33">
        <v>7.1</v>
      </c>
      <c r="I104" s="27" t="s">
        <v>456</v>
      </c>
      <c r="J104" s="21" t="s">
        <v>1820</v>
      </c>
      <c r="K104" s="42">
        <v>40584</v>
      </c>
      <c r="L104" s="42">
        <v>40611</v>
      </c>
      <c r="M104" s="56">
        <f>L104-K104</f>
        <v>27</v>
      </c>
      <c r="N104" s="42">
        <v>40917</v>
      </c>
      <c r="O104" s="56">
        <f>P104-L104</f>
        <v>306</v>
      </c>
      <c r="P104" s="42">
        <v>40917</v>
      </c>
      <c r="Q104" s="27" t="s">
        <v>657</v>
      </c>
      <c r="R104" s="19">
        <v>516703.36</v>
      </c>
      <c r="S104" s="19">
        <v>516703.36</v>
      </c>
      <c r="T104" s="19">
        <v>122149.9</v>
      </c>
      <c r="U104" s="22">
        <f>S104-T104</f>
        <v>394553.45999999996</v>
      </c>
      <c r="V104" s="52">
        <f>T104/S104*100</f>
        <v>23.64023721463704</v>
      </c>
      <c r="W104" s="25">
        <v>40</v>
      </c>
      <c r="X104" s="27" t="s">
        <v>2269</v>
      </c>
      <c r="Y104" s="460" t="s">
        <v>1579</v>
      </c>
      <c r="Z104" s="27"/>
      <c r="AA104" s="11" t="s">
        <v>2191</v>
      </c>
      <c r="AB104" s="37"/>
      <c r="AC104" s="25">
        <f ca="1">(AD104-L104)/O104*100</f>
        <v>397.38562091503269</v>
      </c>
      <c r="AD104" s="42">
        <f ca="1">TODAY()</f>
        <v>41827</v>
      </c>
    </row>
    <row r="105" spans="1:32" s="402" customFormat="1" ht="60" x14ac:dyDescent="0.2">
      <c r="A105" s="443">
        <v>91</v>
      </c>
      <c r="B105" s="443" t="s">
        <v>102</v>
      </c>
      <c r="C105" s="443" t="s">
        <v>101</v>
      </c>
      <c r="D105" s="289" t="s">
        <v>329</v>
      </c>
      <c r="E105" s="435" t="s">
        <v>1303</v>
      </c>
      <c r="F105" s="289" t="s">
        <v>1817</v>
      </c>
      <c r="G105" s="436" t="s">
        <v>1834</v>
      </c>
      <c r="H105" s="437">
        <v>6.7</v>
      </c>
      <c r="I105" s="436" t="s">
        <v>537</v>
      </c>
      <c r="J105" s="289" t="s">
        <v>1820</v>
      </c>
      <c r="K105" s="438">
        <v>40584</v>
      </c>
      <c r="L105" s="438">
        <v>40686</v>
      </c>
      <c r="M105" s="440">
        <f>L105-K105</f>
        <v>102</v>
      </c>
      <c r="N105" s="438">
        <v>40931</v>
      </c>
      <c r="O105" s="440">
        <f>P105-L105</f>
        <v>245</v>
      </c>
      <c r="P105" s="438">
        <v>40931</v>
      </c>
      <c r="Q105" s="436" t="s">
        <v>2268</v>
      </c>
      <c r="R105" s="290">
        <v>395917.16</v>
      </c>
      <c r="S105" s="290">
        <v>395917.16</v>
      </c>
      <c r="T105" s="290">
        <v>350579.87</v>
      </c>
      <c r="U105" s="291">
        <v>0</v>
      </c>
      <c r="V105" s="441">
        <v>80.069999999999993</v>
      </c>
      <c r="W105" s="442">
        <v>100</v>
      </c>
      <c r="X105" s="436" t="s">
        <v>2329</v>
      </c>
      <c r="Y105" s="462" t="s">
        <v>2375</v>
      </c>
      <c r="Z105" s="436"/>
      <c r="AA105" s="444" t="s">
        <v>2022</v>
      </c>
      <c r="AB105" s="447"/>
      <c r="AC105" s="442">
        <f ca="1">(AD105-L105)/O105*100</f>
        <v>465.71428571428572</v>
      </c>
      <c r="AD105" s="438">
        <f ca="1">TODAY()</f>
        <v>41827</v>
      </c>
    </row>
    <row r="106" spans="1:32" s="4" customFormat="1" ht="24" customHeight="1" x14ac:dyDescent="0.2">
      <c r="A106" s="517" t="s">
        <v>2256</v>
      </c>
      <c r="B106" s="517"/>
      <c r="C106" s="517"/>
      <c r="D106" s="517"/>
      <c r="E106" s="518"/>
      <c r="F106" s="518"/>
      <c r="G106" s="518"/>
      <c r="H106" s="33"/>
      <c r="I106" s="27"/>
      <c r="J106" s="21"/>
      <c r="K106" s="42"/>
      <c r="L106" s="43"/>
      <c r="M106" s="43"/>
      <c r="N106" s="43"/>
      <c r="O106" s="43"/>
      <c r="P106" s="124"/>
      <c r="Q106" s="27"/>
      <c r="R106" s="19"/>
      <c r="S106" s="19"/>
      <c r="T106" s="22"/>
      <c r="U106" s="22"/>
      <c r="V106" s="21"/>
      <c r="W106" s="21"/>
      <c r="X106" s="27"/>
      <c r="Y106" s="460"/>
      <c r="Z106" s="27"/>
      <c r="AA106" s="59"/>
      <c r="AB106" s="21"/>
      <c r="AC106" s="64"/>
    </row>
    <row r="107" spans="1:32" s="4" customFormat="1" ht="90" x14ac:dyDescent="0.2">
      <c r="A107" s="8">
        <v>92</v>
      </c>
      <c r="B107" s="8" t="s">
        <v>102</v>
      </c>
      <c r="C107" s="8" t="s">
        <v>101</v>
      </c>
      <c r="D107" s="21" t="s">
        <v>329</v>
      </c>
      <c r="E107" s="10" t="s">
        <v>5</v>
      </c>
      <c r="F107" s="21" t="s">
        <v>1816</v>
      </c>
      <c r="G107" s="27" t="s">
        <v>1679</v>
      </c>
      <c r="H107" s="33">
        <v>6</v>
      </c>
      <c r="I107" s="27" t="s">
        <v>2161</v>
      </c>
      <c r="J107" s="21" t="s">
        <v>1820</v>
      </c>
      <c r="K107" s="42">
        <v>39069</v>
      </c>
      <c r="L107" s="43">
        <v>39146</v>
      </c>
      <c r="M107" s="56">
        <f>L107-K107</f>
        <v>77</v>
      </c>
      <c r="N107" s="43">
        <v>39498</v>
      </c>
      <c r="O107" s="56">
        <f>P107-L107</f>
        <v>352</v>
      </c>
      <c r="P107" s="43">
        <v>39498</v>
      </c>
      <c r="Q107" s="27" t="s">
        <v>2132</v>
      </c>
      <c r="R107" s="19">
        <v>516682.7</v>
      </c>
      <c r="S107" s="19">
        <v>516682.7</v>
      </c>
      <c r="T107" s="22">
        <v>285232.67</v>
      </c>
      <c r="U107" s="22">
        <f t="shared" ref="U107:U117" si="24">S107-T107</f>
        <v>231450.03000000003</v>
      </c>
      <c r="V107" s="52">
        <f t="shared" ref="V107:V117" si="25">T107/S107*100</f>
        <v>55.204610102099409</v>
      </c>
      <c r="W107" s="21">
        <v>45</v>
      </c>
      <c r="X107" s="27" t="s">
        <v>702</v>
      </c>
      <c r="Y107" s="460" t="s">
        <v>2133</v>
      </c>
      <c r="Z107" s="27"/>
      <c r="AA107" s="11" t="s">
        <v>917</v>
      </c>
      <c r="AB107" s="21">
        <v>3</v>
      </c>
      <c r="AC107" s="25">
        <f t="shared" ref="AC107:AC117" ca="1" si="26">(AD107-L107)/O107*100</f>
        <v>761.64772727272725</v>
      </c>
      <c r="AD107" s="42">
        <f t="shared" ref="AD107:AD117" ca="1" si="27">TODAY()</f>
        <v>41827</v>
      </c>
    </row>
    <row r="108" spans="1:32" s="4" customFormat="1" ht="180" x14ac:dyDescent="0.2">
      <c r="A108" s="8">
        <v>93</v>
      </c>
      <c r="B108" s="8" t="s">
        <v>102</v>
      </c>
      <c r="C108" s="8" t="s">
        <v>101</v>
      </c>
      <c r="D108" s="21" t="s">
        <v>331</v>
      </c>
      <c r="E108" s="10" t="s">
        <v>404</v>
      </c>
      <c r="F108" s="21" t="s">
        <v>1816</v>
      </c>
      <c r="G108" s="27" t="s">
        <v>853</v>
      </c>
      <c r="H108" s="33">
        <v>4.5999999999999996</v>
      </c>
      <c r="I108" s="27" t="s">
        <v>218</v>
      </c>
      <c r="J108" s="21" t="s">
        <v>1820</v>
      </c>
      <c r="K108" s="42">
        <v>39371</v>
      </c>
      <c r="L108" s="43">
        <v>39427</v>
      </c>
      <c r="M108" s="56">
        <f t="shared" ref="M108:M117" si="28">L108-K108</f>
        <v>56</v>
      </c>
      <c r="N108" s="43">
        <v>40827</v>
      </c>
      <c r="O108" s="56">
        <f t="shared" ref="O108:O117" si="29">P108-L108</f>
        <v>1400</v>
      </c>
      <c r="P108" s="43">
        <v>40827</v>
      </c>
      <c r="Q108" s="27" t="s">
        <v>212</v>
      </c>
      <c r="R108" s="19">
        <v>1114698.1200000001</v>
      </c>
      <c r="S108" s="19">
        <v>1114698.1200000001</v>
      </c>
      <c r="T108" s="22">
        <v>903915.83</v>
      </c>
      <c r="U108" s="22">
        <f t="shared" si="24"/>
        <v>210782.29000000015</v>
      </c>
      <c r="V108" s="52">
        <f t="shared" si="25"/>
        <v>81.09063914093619</v>
      </c>
      <c r="W108" s="21">
        <v>95</v>
      </c>
      <c r="X108" s="27" t="s">
        <v>1865</v>
      </c>
      <c r="Y108" s="460" t="s">
        <v>609</v>
      </c>
      <c r="Z108" s="27"/>
      <c r="AA108" s="11" t="s">
        <v>1912</v>
      </c>
      <c r="AB108" s="21">
        <v>7</v>
      </c>
      <c r="AC108" s="25">
        <f t="shared" ca="1" si="26"/>
        <v>171.42857142857142</v>
      </c>
      <c r="AD108" s="42">
        <f t="shared" ca="1" si="27"/>
        <v>41827</v>
      </c>
    </row>
    <row r="109" spans="1:32" s="4" customFormat="1" ht="45" x14ac:dyDescent="0.2">
      <c r="A109" s="8">
        <v>94</v>
      </c>
      <c r="B109" s="8" t="s">
        <v>102</v>
      </c>
      <c r="C109" s="8" t="s">
        <v>101</v>
      </c>
      <c r="D109" s="21" t="s">
        <v>1521</v>
      </c>
      <c r="E109" s="10" t="s">
        <v>741</v>
      </c>
      <c r="F109" s="21" t="s">
        <v>1817</v>
      </c>
      <c r="G109" s="27" t="s">
        <v>1670</v>
      </c>
      <c r="H109" s="33">
        <v>1.45</v>
      </c>
      <c r="I109" s="27" t="s">
        <v>219</v>
      </c>
      <c r="J109" s="21" t="s">
        <v>1820</v>
      </c>
      <c r="K109" s="42">
        <v>39282</v>
      </c>
      <c r="L109" s="42">
        <v>39517</v>
      </c>
      <c r="M109" s="56">
        <f t="shared" si="28"/>
        <v>235</v>
      </c>
      <c r="N109" s="43">
        <v>39701</v>
      </c>
      <c r="O109" s="56">
        <f t="shared" si="29"/>
        <v>184</v>
      </c>
      <c r="P109" s="43">
        <v>39701</v>
      </c>
      <c r="Q109" s="11" t="s">
        <v>738</v>
      </c>
      <c r="R109" s="19">
        <v>49627</v>
      </c>
      <c r="S109" s="19">
        <v>49627</v>
      </c>
      <c r="T109" s="22">
        <v>0</v>
      </c>
      <c r="U109" s="22">
        <f t="shared" si="24"/>
        <v>49627</v>
      </c>
      <c r="V109" s="52">
        <f t="shared" si="25"/>
        <v>0</v>
      </c>
      <c r="W109" s="21">
        <v>0</v>
      </c>
      <c r="X109" s="27" t="s">
        <v>1962</v>
      </c>
      <c r="Y109" s="464" t="s">
        <v>738</v>
      </c>
      <c r="Z109" s="11"/>
      <c r="AA109" s="11" t="s">
        <v>738</v>
      </c>
      <c r="AB109" s="11" t="s">
        <v>738</v>
      </c>
      <c r="AC109" s="25">
        <f t="shared" ca="1" si="26"/>
        <v>1255.4347826086957</v>
      </c>
      <c r="AD109" s="42">
        <f t="shared" ca="1" si="27"/>
        <v>41827</v>
      </c>
    </row>
    <row r="110" spans="1:32" s="349" customFormat="1" ht="150" x14ac:dyDescent="0.2">
      <c r="A110" s="450">
        <v>95</v>
      </c>
      <c r="B110" s="450" t="s">
        <v>102</v>
      </c>
      <c r="C110" s="450" t="s">
        <v>101</v>
      </c>
      <c r="D110" s="336" t="s">
        <v>331</v>
      </c>
      <c r="E110" s="347" t="s">
        <v>740</v>
      </c>
      <c r="F110" s="336" t="s">
        <v>1816</v>
      </c>
      <c r="G110" s="337" t="s">
        <v>1671</v>
      </c>
      <c r="H110" s="338">
        <v>7.67</v>
      </c>
      <c r="I110" s="337" t="s">
        <v>214</v>
      </c>
      <c r="J110" s="336" t="s">
        <v>1820</v>
      </c>
      <c r="K110" s="339">
        <v>39384</v>
      </c>
      <c r="L110" s="339">
        <v>39471</v>
      </c>
      <c r="M110" s="340">
        <f t="shared" si="28"/>
        <v>87</v>
      </c>
      <c r="N110" s="339">
        <v>40018</v>
      </c>
      <c r="O110" s="340">
        <f t="shared" si="29"/>
        <v>1356</v>
      </c>
      <c r="P110" s="339">
        <v>40827</v>
      </c>
      <c r="Q110" s="337" t="s">
        <v>460</v>
      </c>
      <c r="R110" s="341">
        <v>1752683.59</v>
      </c>
      <c r="S110" s="341">
        <f>1752683.59+884706.95</f>
        <v>2637390.54</v>
      </c>
      <c r="T110" s="342">
        <v>2637390.54</v>
      </c>
      <c r="U110" s="342">
        <f t="shared" si="24"/>
        <v>0</v>
      </c>
      <c r="V110" s="343">
        <f t="shared" si="25"/>
        <v>100</v>
      </c>
      <c r="W110" s="336">
        <v>100</v>
      </c>
      <c r="X110" s="337" t="s">
        <v>2322</v>
      </c>
      <c r="Y110" s="463" t="s">
        <v>1919</v>
      </c>
      <c r="Z110" s="337"/>
      <c r="AA110" s="345" t="s">
        <v>1912</v>
      </c>
      <c r="AB110" s="336">
        <v>5</v>
      </c>
      <c r="AC110" s="344">
        <f t="shared" ca="1" si="26"/>
        <v>173.74631268436579</v>
      </c>
      <c r="AD110" s="339">
        <f t="shared" ca="1" si="27"/>
        <v>41827</v>
      </c>
    </row>
    <row r="111" spans="1:32" s="4" customFormat="1" ht="30" x14ac:dyDescent="0.2">
      <c r="A111" s="8">
        <v>96</v>
      </c>
      <c r="B111" s="8" t="s">
        <v>102</v>
      </c>
      <c r="C111" s="8" t="s">
        <v>101</v>
      </c>
      <c r="D111" s="21" t="s">
        <v>1676</v>
      </c>
      <c r="E111" s="10" t="s">
        <v>272</v>
      </c>
      <c r="F111" s="21" t="s">
        <v>1817</v>
      </c>
      <c r="G111" s="27" t="s">
        <v>914</v>
      </c>
      <c r="H111" s="33">
        <v>3.75</v>
      </c>
      <c r="I111" s="27" t="s">
        <v>221</v>
      </c>
      <c r="J111" s="21" t="s">
        <v>1820</v>
      </c>
      <c r="K111" s="42">
        <v>39771</v>
      </c>
      <c r="L111" s="43">
        <v>39792</v>
      </c>
      <c r="M111" s="56">
        <f t="shared" si="28"/>
        <v>21</v>
      </c>
      <c r="N111" s="43">
        <v>39967</v>
      </c>
      <c r="O111" s="56">
        <f t="shared" si="29"/>
        <v>175</v>
      </c>
      <c r="P111" s="43">
        <v>39967</v>
      </c>
      <c r="Q111" s="11" t="s">
        <v>738</v>
      </c>
      <c r="R111" s="19">
        <v>37923.5</v>
      </c>
      <c r="S111" s="19">
        <v>37923.5</v>
      </c>
      <c r="T111" s="22">
        <v>26523.16</v>
      </c>
      <c r="U111" s="22">
        <f t="shared" si="24"/>
        <v>11400.34</v>
      </c>
      <c r="V111" s="52">
        <f t="shared" si="25"/>
        <v>69.938586892032646</v>
      </c>
      <c r="W111" s="25">
        <v>83.37</v>
      </c>
      <c r="X111" s="27" t="s">
        <v>851</v>
      </c>
      <c r="Y111" s="460" t="s">
        <v>4</v>
      </c>
      <c r="Z111" s="27"/>
      <c r="AA111" s="11" t="s">
        <v>738</v>
      </c>
      <c r="AB111" s="37">
        <v>1</v>
      </c>
      <c r="AC111" s="25">
        <f t="shared" ca="1" si="26"/>
        <v>1162.8571428571429</v>
      </c>
      <c r="AD111" s="42">
        <f t="shared" ca="1" si="27"/>
        <v>41827</v>
      </c>
    </row>
    <row r="112" spans="1:32" s="4" customFormat="1" ht="45" x14ac:dyDescent="0.2">
      <c r="A112" s="8">
        <v>97</v>
      </c>
      <c r="B112" s="8" t="s">
        <v>102</v>
      </c>
      <c r="C112" s="8" t="s">
        <v>101</v>
      </c>
      <c r="D112" s="21" t="s">
        <v>332</v>
      </c>
      <c r="E112" s="10" t="s">
        <v>697</v>
      </c>
      <c r="F112" s="21" t="s">
        <v>1817</v>
      </c>
      <c r="G112" s="27" t="s">
        <v>1672</v>
      </c>
      <c r="H112" s="33">
        <v>2.1</v>
      </c>
      <c r="I112" s="27" t="s">
        <v>1660</v>
      </c>
      <c r="J112" s="21" t="s">
        <v>1820</v>
      </c>
      <c r="K112" s="42">
        <v>39783</v>
      </c>
      <c r="L112" s="43">
        <v>39841</v>
      </c>
      <c r="M112" s="56">
        <f t="shared" si="28"/>
        <v>58</v>
      </c>
      <c r="N112" s="43">
        <v>39960</v>
      </c>
      <c r="O112" s="56">
        <f t="shared" si="29"/>
        <v>119</v>
      </c>
      <c r="P112" s="43">
        <v>39960</v>
      </c>
      <c r="Q112" s="27" t="s">
        <v>2042</v>
      </c>
      <c r="R112" s="19">
        <v>46557.09</v>
      </c>
      <c r="S112" s="19">
        <v>46557.09</v>
      </c>
      <c r="T112" s="38">
        <v>0</v>
      </c>
      <c r="U112" s="22">
        <f t="shared" si="24"/>
        <v>46557.09</v>
      </c>
      <c r="V112" s="52">
        <f t="shared" si="25"/>
        <v>0</v>
      </c>
      <c r="W112" s="25">
        <v>15</v>
      </c>
      <c r="X112" s="27" t="s">
        <v>854</v>
      </c>
      <c r="Y112" s="460" t="s">
        <v>651</v>
      </c>
      <c r="Z112" s="27"/>
      <c r="AA112" s="11" t="s">
        <v>738</v>
      </c>
      <c r="AB112" s="11" t="s">
        <v>738</v>
      </c>
      <c r="AC112" s="25">
        <f t="shared" ca="1" si="26"/>
        <v>1668.9075630252103</v>
      </c>
      <c r="AD112" s="42">
        <f t="shared" ca="1" si="27"/>
        <v>41827</v>
      </c>
    </row>
    <row r="113" spans="1:31" s="4" customFormat="1" ht="60" x14ac:dyDescent="0.2">
      <c r="A113" s="8">
        <v>98</v>
      </c>
      <c r="B113" s="8" t="s">
        <v>102</v>
      </c>
      <c r="C113" s="8" t="s">
        <v>101</v>
      </c>
      <c r="D113" s="21" t="s">
        <v>332</v>
      </c>
      <c r="E113" s="10" t="s">
        <v>698</v>
      </c>
      <c r="F113" s="21" t="s">
        <v>1817</v>
      </c>
      <c r="G113" s="27" t="s">
        <v>1673</v>
      </c>
      <c r="H113" s="33">
        <v>1.8</v>
      </c>
      <c r="I113" s="27" t="s">
        <v>1662</v>
      </c>
      <c r="J113" s="21" t="s">
        <v>1820</v>
      </c>
      <c r="K113" s="42">
        <v>39786</v>
      </c>
      <c r="L113" s="43">
        <v>39853</v>
      </c>
      <c r="M113" s="56">
        <f t="shared" si="28"/>
        <v>67</v>
      </c>
      <c r="N113" s="43">
        <v>40009</v>
      </c>
      <c r="O113" s="56">
        <f t="shared" si="29"/>
        <v>156</v>
      </c>
      <c r="P113" s="43">
        <v>40009</v>
      </c>
      <c r="Q113" s="27" t="s">
        <v>2043</v>
      </c>
      <c r="R113" s="19">
        <v>49523.31</v>
      </c>
      <c r="S113" s="19">
        <v>49523.31</v>
      </c>
      <c r="T113" s="19">
        <v>39070.370000000003</v>
      </c>
      <c r="U113" s="22">
        <f t="shared" si="24"/>
        <v>10452.939999999995</v>
      </c>
      <c r="V113" s="52">
        <f t="shared" si="25"/>
        <v>78.892889025390275</v>
      </c>
      <c r="W113" s="25">
        <v>98</v>
      </c>
      <c r="X113" s="27" t="s">
        <v>1865</v>
      </c>
      <c r="Y113" s="460" t="s">
        <v>1189</v>
      </c>
      <c r="Z113" s="27"/>
      <c r="AA113" s="11" t="s">
        <v>738</v>
      </c>
      <c r="AB113" s="11">
        <v>1</v>
      </c>
      <c r="AC113" s="25">
        <f t="shared" ca="1" si="26"/>
        <v>1265.3846153846152</v>
      </c>
      <c r="AD113" s="42">
        <f t="shared" ca="1" si="27"/>
        <v>41827</v>
      </c>
    </row>
    <row r="114" spans="1:31" s="4" customFormat="1" ht="45" x14ac:dyDescent="0.2">
      <c r="A114" s="8">
        <v>99</v>
      </c>
      <c r="B114" s="8" t="s">
        <v>102</v>
      </c>
      <c r="C114" s="8" t="s">
        <v>101</v>
      </c>
      <c r="D114" s="21" t="s">
        <v>332</v>
      </c>
      <c r="E114" s="10" t="s">
        <v>699</v>
      </c>
      <c r="F114" s="21" t="s">
        <v>1817</v>
      </c>
      <c r="G114" s="27" t="s">
        <v>1674</v>
      </c>
      <c r="H114" s="33">
        <v>2.4</v>
      </c>
      <c r="I114" s="27" t="s">
        <v>222</v>
      </c>
      <c r="J114" s="21" t="s">
        <v>1820</v>
      </c>
      <c r="K114" s="42">
        <v>39783</v>
      </c>
      <c r="L114" s="43">
        <v>39841</v>
      </c>
      <c r="M114" s="56">
        <f t="shared" si="28"/>
        <v>58</v>
      </c>
      <c r="N114" s="43">
        <v>39960</v>
      </c>
      <c r="O114" s="56">
        <f t="shared" si="29"/>
        <v>119</v>
      </c>
      <c r="P114" s="43">
        <v>39960</v>
      </c>
      <c r="Q114" s="11" t="s">
        <v>738</v>
      </c>
      <c r="R114" s="19">
        <v>47761.66</v>
      </c>
      <c r="S114" s="19">
        <v>47761.66</v>
      </c>
      <c r="T114" s="38">
        <v>0</v>
      </c>
      <c r="U114" s="22">
        <f t="shared" si="24"/>
        <v>47761.66</v>
      </c>
      <c r="V114" s="52">
        <f t="shared" si="25"/>
        <v>0</v>
      </c>
      <c r="W114" s="25">
        <v>5</v>
      </c>
      <c r="X114" s="27" t="s">
        <v>854</v>
      </c>
      <c r="Y114" s="460" t="s">
        <v>631</v>
      </c>
      <c r="Z114" s="27"/>
      <c r="AA114" s="11" t="s">
        <v>738</v>
      </c>
      <c r="AB114" s="11" t="s">
        <v>738</v>
      </c>
      <c r="AC114" s="25">
        <f t="shared" ca="1" si="26"/>
        <v>1668.9075630252103</v>
      </c>
      <c r="AD114" s="42">
        <f t="shared" ca="1" si="27"/>
        <v>41827</v>
      </c>
    </row>
    <row r="115" spans="1:31" s="4" customFormat="1" ht="45" x14ac:dyDescent="0.2">
      <c r="A115" s="8">
        <v>100</v>
      </c>
      <c r="B115" s="8" t="s">
        <v>102</v>
      </c>
      <c r="C115" s="8" t="s">
        <v>101</v>
      </c>
      <c r="D115" s="21" t="s">
        <v>332</v>
      </c>
      <c r="E115" s="10" t="s">
        <v>700</v>
      </c>
      <c r="F115" s="21" t="s">
        <v>1817</v>
      </c>
      <c r="G115" s="27" t="s">
        <v>1675</v>
      </c>
      <c r="H115" s="33">
        <v>3.95</v>
      </c>
      <c r="I115" s="27" t="s">
        <v>214</v>
      </c>
      <c r="J115" s="21" t="s">
        <v>1820</v>
      </c>
      <c r="K115" s="42">
        <v>39783</v>
      </c>
      <c r="L115" s="43">
        <v>39847</v>
      </c>
      <c r="M115" s="56">
        <f t="shared" si="28"/>
        <v>64</v>
      </c>
      <c r="N115" s="43">
        <v>39973</v>
      </c>
      <c r="O115" s="56">
        <f t="shared" si="29"/>
        <v>126</v>
      </c>
      <c r="P115" s="43">
        <v>39973</v>
      </c>
      <c r="Q115" s="11" t="s">
        <v>738</v>
      </c>
      <c r="R115" s="19">
        <v>49587.75</v>
      </c>
      <c r="S115" s="19">
        <v>49587.75</v>
      </c>
      <c r="T115" s="38">
        <v>0</v>
      </c>
      <c r="U115" s="22">
        <f t="shared" si="24"/>
        <v>49587.75</v>
      </c>
      <c r="V115" s="52">
        <f t="shared" si="25"/>
        <v>0</v>
      </c>
      <c r="W115" s="25">
        <v>0</v>
      </c>
      <c r="X115" s="27" t="s">
        <v>640</v>
      </c>
      <c r="Y115" s="464" t="s">
        <v>738</v>
      </c>
      <c r="Z115" s="11"/>
      <c r="AA115" s="11" t="s">
        <v>738</v>
      </c>
      <c r="AB115" s="11" t="s">
        <v>738</v>
      </c>
      <c r="AC115" s="25">
        <f t="shared" ca="1" si="26"/>
        <v>1571.4285714285713</v>
      </c>
      <c r="AD115" s="42">
        <f t="shared" ca="1" si="27"/>
        <v>41827</v>
      </c>
      <c r="AE115" s="60"/>
    </row>
    <row r="116" spans="1:31" s="4" customFormat="1" ht="45" x14ac:dyDescent="0.2">
      <c r="A116" s="8">
        <v>101</v>
      </c>
      <c r="B116" s="8" t="s">
        <v>102</v>
      </c>
      <c r="C116" s="8" t="s">
        <v>101</v>
      </c>
      <c r="D116" s="21" t="s">
        <v>332</v>
      </c>
      <c r="E116" s="10" t="s">
        <v>701</v>
      </c>
      <c r="F116" s="21" t="s">
        <v>1817</v>
      </c>
      <c r="G116" s="27" t="s">
        <v>455</v>
      </c>
      <c r="H116" s="33">
        <v>2.2000000000000002</v>
      </c>
      <c r="I116" s="27" t="s">
        <v>1663</v>
      </c>
      <c r="J116" s="21" t="s">
        <v>1820</v>
      </c>
      <c r="K116" s="42">
        <v>39783</v>
      </c>
      <c r="L116" s="43">
        <v>39847</v>
      </c>
      <c r="M116" s="56">
        <f t="shared" si="28"/>
        <v>64</v>
      </c>
      <c r="N116" s="43">
        <v>39973</v>
      </c>
      <c r="O116" s="56">
        <f t="shared" si="29"/>
        <v>126</v>
      </c>
      <c r="P116" s="43">
        <v>39973</v>
      </c>
      <c r="Q116" s="11" t="s">
        <v>738</v>
      </c>
      <c r="R116" s="19">
        <v>47897.24</v>
      </c>
      <c r="S116" s="19">
        <v>47897.24</v>
      </c>
      <c r="T116" s="38">
        <v>0</v>
      </c>
      <c r="U116" s="22">
        <f t="shared" si="24"/>
        <v>47897.24</v>
      </c>
      <c r="V116" s="52">
        <f t="shared" si="25"/>
        <v>0</v>
      </c>
      <c r="W116" s="25">
        <v>0</v>
      </c>
      <c r="X116" s="27" t="s">
        <v>720</v>
      </c>
      <c r="Y116" s="464" t="s">
        <v>738</v>
      </c>
      <c r="Z116" s="11"/>
      <c r="AA116" s="11" t="s">
        <v>738</v>
      </c>
      <c r="AB116" s="11" t="s">
        <v>738</v>
      </c>
      <c r="AC116" s="25">
        <f t="shared" ca="1" si="26"/>
        <v>1571.4285714285713</v>
      </c>
      <c r="AD116" s="42">
        <f t="shared" ca="1" si="27"/>
        <v>41827</v>
      </c>
    </row>
    <row r="117" spans="1:31" s="4" customFormat="1" ht="45" x14ac:dyDescent="0.2">
      <c r="A117" s="8">
        <v>102</v>
      </c>
      <c r="B117" s="8" t="s">
        <v>102</v>
      </c>
      <c r="C117" s="8" t="s">
        <v>101</v>
      </c>
      <c r="D117" s="21" t="s">
        <v>332</v>
      </c>
      <c r="E117" s="10" t="s">
        <v>3</v>
      </c>
      <c r="F117" s="21" t="s">
        <v>1817</v>
      </c>
      <c r="G117" s="27" t="s">
        <v>1534</v>
      </c>
      <c r="H117" s="33">
        <v>1.2</v>
      </c>
      <c r="I117" s="27" t="s">
        <v>2140</v>
      </c>
      <c r="J117" s="21" t="s">
        <v>1820</v>
      </c>
      <c r="K117" s="42">
        <v>39783</v>
      </c>
      <c r="L117" s="42">
        <v>39839</v>
      </c>
      <c r="M117" s="56">
        <f t="shared" si="28"/>
        <v>56</v>
      </c>
      <c r="N117" s="42">
        <v>39958</v>
      </c>
      <c r="O117" s="56">
        <f t="shared" si="29"/>
        <v>119</v>
      </c>
      <c r="P117" s="42">
        <v>39958</v>
      </c>
      <c r="Q117" s="27" t="s">
        <v>83</v>
      </c>
      <c r="R117" s="19">
        <v>48799.1</v>
      </c>
      <c r="S117" s="19">
        <v>48799.1</v>
      </c>
      <c r="T117" s="19">
        <v>28593.3</v>
      </c>
      <c r="U117" s="22">
        <f t="shared" si="24"/>
        <v>20205.8</v>
      </c>
      <c r="V117" s="52">
        <f t="shared" si="25"/>
        <v>58.593908494214034</v>
      </c>
      <c r="W117" s="25">
        <v>87.62</v>
      </c>
      <c r="X117" s="27" t="s">
        <v>1136</v>
      </c>
      <c r="Y117" s="460" t="s">
        <v>1957</v>
      </c>
      <c r="Z117" s="27"/>
      <c r="AA117" s="11" t="s">
        <v>738</v>
      </c>
      <c r="AB117" s="37">
        <v>1</v>
      </c>
      <c r="AC117" s="25">
        <f t="shared" ca="1" si="26"/>
        <v>1670.5882352941178</v>
      </c>
      <c r="AD117" s="42">
        <f t="shared" ca="1" si="27"/>
        <v>41827</v>
      </c>
    </row>
    <row r="118" spans="1:31" s="4" customFormat="1" ht="75" x14ac:dyDescent="0.2">
      <c r="A118" s="8">
        <v>103</v>
      </c>
      <c r="B118" s="8" t="s">
        <v>102</v>
      </c>
      <c r="C118" s="8" t="s">
        <v>101</v>
      </c>
      <c r="D118" s="21" t="s">
        <v>1056</v>
      </c>
      <c r="E118" s="10" t="s">
        <v>765</v>
      </c>
      <c r="F118" s="21" t="s">
        <v>1486</v>
      </c>
      <c r="G118" s="27" t="s">
        <v>766</v>
      </c>
      <c r="H118" s="33">
        <v>6.9</v>
      </c>
      <c r="I118" s="27" t="s">
        <v>1279</v>
      </c>
      <c r="J118" s="21" t="s">
        <v>1820</v>
      </c>
      <c r="K118" s="42">
        <v>39069</v>
      </c>
      <c r="L118" s="43">
        <v>39141</v>
      </c>
      <c r="M118" s="56">
        <f>L118-K118</f>
        <v>72</v>
      </c>
      <c r="N118" s="43">
        <v>39444</v>
      </c>
      <c r="O118" s="56">
        <f>P118-L118</f>
        <v>303</v>
      </c>
      <c r="P118" s="43">
        <v>39444</v>
      </c>
      <c r="Q118" s="27" t="s">
        <v>1234</v>
      </c>
      <c r="R118" s="19">
        <v>291598.5</v>
      </c>
      <c r="S118" s="19">
        <v>291598.5</v>
      </c>
      <c r="T118" s="22">
        <v>294817.71999999997</v>
      </c>
      <c r="U118" s="11" t="s">
        <v>738</v>
      </c>
      <c r="V118" s="52">
        <f t="shared" ref="V118:V144" si="30">T118/S118*100</f>
        <v>101.10399058980069</v>
      </c>
      <c r="W118" s="21">
        <v>96</v>
      </c>
      <c r="X118" s="27" t="s">
        <v>1239</v>
      </c>
      <c r="Y118" s="460" t="s">
        <v>979</v>
      </c>
      <c r="Z118" s="27"/>
      <c r="AA118" s="11" t="s">
        <v>980</v>
      </c>
      <c r="AB118" s="21">
        <v>3</v>
      </c>
      <c r="AC118" s="25"/>
      <c r="AD118" s="42"/>
    </row>
    <row r="119" spans="1:31" s="4" customFormat="1" ht="45" x14ac:dyDescent="0.2">
      <c r="A119" s="8">
        <v>104</v>
      </c>
      <c r="B119" s="8" t="s">
        <v>102</v>
      </c>
      <c r="C119" s="8" t="s">
        <v>101</v>
      </c>
      <c r="D119" s="114" t="s">
        <v>1500</v>
      </c>
      <c r="E119" s="10" t="s">
        <v>1868</v>
      </c>
      <c r="F119" s="21" t="s">
        <v>1819</v>
      </c>
      <c r="G119" s="27" t="s">
        <v>1680</v>
      </c>
      <c r="H119" s="33">
        <v>5</v>
      </c>
      <c r="I119" s="27" t="s">
        <v>213</v>
      </c>
      <c r="J119" s="21" t="s">
        <v>1820</v>
      </c>
      <c r="K119" s="42">
        <v>38709</v>
      </c>
      <c r="L119" s="43">
        <v>38818</v>
      </c>
      <c r="M119" s="56">
        <f>L119-K119</f>
        <v>109</v>
      </c>
      <c r="N119" s="43">
        <v>39007</v>
      </c>
      <c r="O119" s="56">
        <f>P119-L119</f>
        <v>189</v>
      </c>
      <c r="P119" s="43">
        <v>39007</v>
      </c>
      <c r="Q119" s="11" t="s">
        <v>738</v>
      </c>
      <c r="R119" s="19">
        <v>40029</v>
      </c>
      <c r="S119" s="19">
        <v>40029</v>
      </c>
      <c r="T119" s="22">
        <v>5458.5</v>
      </c>
      <c r="U119" s="22">
        <f>S119-T119</f>
        <v>34570.5</v>
      </c>
      <c r="V119" s="52">
        <f t="shared" si="30"/>
        <v>13.636363636363635</v>
      </c>
      <c r="W119" s="21">
        <v>10</v>
      </c>
      <c r="X119" s="27" t="s">
        <v>1254</v>
      </c>
      <c r="Y119" s="464" t="s">
        <v>738</v>
      </c>
      <c r="Z119" s="11"/>
      <c r="AA119" s="11" t="s">
        <v>2073</v>
      </c>
      <c r="AB119" s="21">
        <v>1</v>
      </c>
      <c r="AC119" s="25">
        <f ca="1">(AD119-L119)/O119*100</f>
        <v>1592.063492063492</v>
      </c>
      <c r="AD119" s="42">
        <f ca="1">TODAY()</f>
        <v>41827</v>
      </c>
    </row>
    <row r="120" spans="1:31" s="4" customFormat="1" ht="30" x14ac:dyDescent="0.2">
      <c r="A120" s="8">
        <v>105</v>
      </c>
      <c r="B120" s="8" t="s">
        <v>102</v>
      </c>
      <c r="C120" s="8" t="s">
        <v>101</v>
      </c>
      <c r="D120" s="21" t="s">
        <v>1676</v>
      </c>
      <c r="E120" s="10"/>
      <c r="F120" s="21" t="s">
        <v>1817</v>
      </c>
      <c r="G120" s="27" t="s">
        <v>2219</v>
      </c>
      <c r="H120" s="33">
        <v>4</v>
      </c>
      <c r="I120" s="27" t="s">
        <v>950</v>
      </c>
      <c r="J120" s="21" t="s">
        <v>1820</v>
      </c>
      <c r="K120" s="42">
        <v>40813</v>
      </c>
      <c r="L120" s="43">
        <v>40878</v>
      </c>
      <c r="M120" s="56">
        <f>L120-K120</f>
        <v>65</v>
      </c>
      <c r="N120" s="43">
        <v>41000</v>
      </c>
      <c r="O120" s="56">
        <f>P120-L120</f>
        <v>122</v>
      </c>
      <c r="P120" s="43">
        <v>41000</v>
      </c>
      <c r="Q120" s="11"/>
      <c r="R120" s="19">
        <v>32329.200000000001</v>
      </c>
      <c r="S120" s="19">
        <v>32329.200000000001</v>
      </c>
      <c r="T120" s="22"/>
      <c r="U120" s="22">
        <f>S120-T120</f>
        <v>32329.200000000001</v>
      </c>
      <c r="V120" s="52">
        <f t="shared" si="30"/>
        <v>0</v>
      </c>
      <c r="W120" s="21">
        <v>95</v>
      </c>
      <c r="X120" s="27" t="s">
        <v>1083</v>
      </c>
      <c r="Y120" s="460" t="s">
        <v>2036</v>
      </c>
      <c r="Z120" s="11"/>
      <c r="AA120" s="11"/>
      <c r="AB120" s="21"/>
      <c r="AC120" s="25">
        <f ca="1">(AD120-L120)/O120*100</f>
        <v>777.86885245901635</v>
      </c>
      <c r="AD120" s="42">
        <f ca="1">TODAY()</f>
        <v>41827</v>
      </c>
    </row>
    <row r="121" spans="1:31" s="4" customFormat="1" ht="30" x14ac:dyDescent="0.2">
      <c r="A121" s="8">
        <v>106</v>
      </c>
      <c r="B121" s="8" t="s">
        <v>102</v>
      </c>
      <c r="C121" s="8" t="s">
        <v>101</v>
      </c>
      <c r="D121" s="21" t="s">
        <v>1676</v>
      </c>
      <c r="E121" s="10"/>
      <c r="F121" s="21" t="s">
        <v>1817</v>
      </c>
      <c r="G121" s="27" t="s">
        <v>2035</v>
      </c>
      <c r="H121" s="33">
        <v>3.5</v>
      </c>
      <c r="I121" s="27" t="s">
        <v>2207</v>
      </c>
      <c r="J121" s="21" t="s">
        <v>1820</v>
      </c>
      <c r="K121" s="42">
        <v>41264</v>
      </c>
      <c r="L121" s="43">
        <v>41360</v>
      </c>
      <c r="M121" s="56">
        <f>L121-K121</f>
        <v>96</v>
      </c>
      <c r="N121" s="43">
        <v>41482</v>
      </c>
      <c r="O121" s="56">
        <f>P121-L121</f>
        <v>122</v>
      </c>
      <c r="P121" s="43">
        <v>41482</v>
      </c>
      <c r="Q121" s="11" t="s">
        <v>1583</v>
      </c>
      <c r="R121" s="19">
        <v>47591.64</v>
      </c>
      <c r="S121" s="19">
        <v>47591.64</v>
      </c>
      <c r="T121" s="22">
        <v>41924</v>
      </c>
      <c r="U121" s="22">
        <f>S121-T121</f>
        <v>5667.6399999999994</v>
      </c>
      <c r="V121" s="52">
        <f t="shared" si="30"/>
        <v>88.091101714502798</v>
      </c>
      <c r="W121" s="21">
        <v>88</v>
      </c>
      <c r="X121" s="27" t="s">
        <v>559</v>
      </c>
      <c r="Y121" s="464" t="s">
        <v>1583</v>
      </c>
      <c r="Z121" s="11"/>
      <c r="AA121" s="11"/>
      <c r="AB121" s="21"/>
      <c r="AC121" s="25">
        <f ca="1">(AD121-L121)/O121*100</f>
        <v>382.78688524590166</v>
      </c>
      <c r="AD121" s="42">
        <f ca="1">TODAY()</f>
        <v>41827</v>
      </c>
    </row>
    <row r="122" spans="1:31" s="4" customFormat="1" ht="30.75" customHeight="1" x14ac:dyDescent="0.2">
      <c r="A122" s="517" t="s">
        <v>18</v>
      </c>
      <c r="B122" s="517"/>
      <c r="C122" s="517"/>
      <c r="D122" s="517"/>
      <c r="E122" s="518"/>
      <c r="F122" s="518"/>
      <c r="G122" s="518"/>
      <c r="H122" s="109"/>
      <c r="I122" s="110"/>
      <c r="J122" s="110"/>
      <c r="K122" s="44"/>
      <c r="L122" s="44"/>
      <c r="M122" s="44"/>
      <c r="N122" s="44"/>
      <c r="O122" s="44"/>
      <c r="P122" s="44"/>
      <c r="Q122" s="111"/>
      <c r="R122" s="112"/>
      <c r="S122" s="125"/>
      <c r="T122" s="111"/>
      <c r="U122" s="22"/>
      <c r="V122" s="52"/>
      <c r="W122" s="113"/>
      <c r="X122" s="27"/>
      <c r="Y122" s="466"/>
      <c r="Z122" s="111"/>
      <c r="AA122" s="59"/>
      <c r="AB122" s="125"/>
      <c r="AC122" s="25"/>
    </row>
    <row r="123" spans="1:31" s="4" customFormat="1" ht="90" x14ac:dyDescent="0.2">
      <c r="A123" s="8">
        <v>105</v>
      </c>
      <c r="B123" s="8" t="s">
        <v>102</v>
      </c>
      <c r="C123" s="8" t="s">
        <v>101</v>
      </c>
      <c r="D123" s="21" t="s">
        <v>332</v>
      </c>
      <c r="E123" s="10" t="s">
        <v>1084</v>
      </c>
      <c r="F123" s="21" t="s">
        <v>1816</v>
      </c>
      <c r="G123" s="27" t="s">
        <v>1462</v>
      </c>
      <c r="H123" s="33">
        <v>2</v>
      </c>
      <c r="I123" s="27" t="s">
        <v>2162</v>
      </c>
      <c r="J123" s="21" t="s">
        <v>18</v>
      </c>
      <c r="K123" s="42">
        <v>39806</v>
      </c>
      <c r="L123" s="42">
        <v>39951</v>
      </c>
      <c r="M123" s="56">
        <f>L123-K123</f>
        <v>145</v>
      </c>
      <c r="N123" s="42">
        <v>40315</v>
      </c>
      <c r="O123" s="56">
        <f>P123-L123</f>
        <v>592</v>
      </c>
      <c r="P123" s="42">
        <v>40543</v>
      </c>
      <c r="Q123" s="27" t="s">
        <v>889</v>
      </c>
      <c r="R123" s="19">
        <v>523193.85</v>
      </c>
      <c r="S123" s="19">
        <v>523193.85</v>
      </c>
      <c r="T123" s="22">
        <v>466855.75</v>
      </c>
      <c r="U123" s="22">
        <v>0</v>
      </c>
      <c r="V123" s="52">
        <f t="shared" si="30"/>
        <v>89.231887951282303</v>
      </c>
      <c r="W123" s="25">
        <v>100</v>
      </c>
      <c r="X123" s="27" t="s">
        <v>1235</v>
      </c>
      <c r="Y123" s="460" t="s">
        <v>1252</v>
      </c>
      <c r="Z123" s="27"/>
      <c r="AA123" s="11" t="s">
        <v>1912</v>
      </c>
      <c r="AB123" s="11">
        <v>3</v>
      </c>
      <c r="AC123" s="25"/>
      <c r="AD123" s="42"/>
    </row>
    <row r="124" spans="1:31" s="4" customFormat="1" ht="105" x14ac:dyDescent="0.2">
      <c r="A124" s="8">
        <v>106</v>
      </c>
      <c r="B124" s="8" t="s">
        <v>102</v>
      </c>
      <c r="C124" s="8" t="s">
        <v>101</v>
      </c>
      <c r="D124" s="21" t="s">
        <v>329</v>
      </c>
      <c r="E124" s="10" t="s">
        <v>1948</v>
      </c>
      <c r="F124" s="21" t="s">
        <v>1816</v>
      </c>
      <c r="G124" s="27" t="s">
        <v>1463</v>
      </c>
      <c r="H124" s="33">
        <v>2</v>
      </c>
      <c r="I124" s="27" t="s">
        <v>2163</v>
      </c>
      <c r="J124" s="21" t="s">
        <v>18</v>
      </c>
      <c r="K124" s="42">
        <v>39811</v>
      </c>
      <c r="L124" s="42">
        <v>39918</v>
      </c>
      <c r="M124" s="56">
        <f>L124-K124</f>
        <v>107</v>
      </c>
      <c r="N124" s="42">
        <v>40252</v>
      </c>
      <c r="O124" s="56">
        <f>P124-L124</f>
        <v>334</v>
      </c>
      <c r="P124" s="42">
        <v>40252</v>
      </c>
      <c r="Q124" s="27" t="s">
        <v>932</v>
      </c>
      <c r="R124" s="19">
        <v>552834.62</v>
      </c>
      <c r="S124" s="19">
        <v>552834.62</v>
      </c>
      <c r="T124" s="22">
        <v>523736.57</v>
      </c>
      <c r="U124" s="22">
        <v>0</v>
      </c>
      <c r="V124" s="52">
        <f t="shared" si="30"/>
        <v>94.736572394833019</v>
      </c>
      <c r="W124" s="25">
        <v>100</v>
      </c>
      <c r="X124" s="27" t="s">
        <v>915</v>
      </c>
      <c r="Y124" s="460" t="s">
        <v>880</v>
      </c>
      <c r="Z124" s="27"/>
      <c r="AA124" s="11" t="s">
        <v>1912</v>
      </c>
      <c r="AB124" s="21">
        <v>3</v>
      </c>
      <c r="AC124" s="25"/>
      <c r="AD124" s="42"/>
    </row>
    <row r="125" spans="1:31" s="4" customFormat="1" ht="45" x14ac:dyDescent="0.2">
      <c r="A125" s="8">
        <v>107</v>
      </c>
      <c r="B125" s="8" t="s">
        <v>102</v>
      </c>
      <c r="C125" s="8" t="s">
        <v>101</v>
      </c>
      <c r="D125" s="21" t="s">
        <v>2113</v>
      </c>
      <c r="E125" s="10" t="s">
        <v>1948</v>
      </c>
      <c r="F125" s="21" t="s">
        <v>1816</v>
      </c>
      <c r="G125" s="27" t="s">
        <v>253</v>
      </c>
      <c r="H125" s="33">
        <v>2</v>
      </c>
      <c r="I125" s="27" t="s">
        <v>2163</v>
      </c>
      <c r="J125" s="21" t="s">
        <v>18</v>
      </c>
      <c r="K125" s="42">
        <v>39811</v>
      </c>
      <c r="L125" s="42"/>
      <c r="M125" s="56"/>
      <c r="N125" s="42"/>
      <c r="O125" s="56"/>
      <c r="P125" s="42"/>
      <c r="Q125" s="27" t="s">
        <v>653</v>
      </c>
      <c r="R125" s="19">
        <v>911213.1</v>
      </c>
      <c r="S125" s="19">
        <v>911213.1</v>
      </c>
      <c r="T125" s="22">
        <v>667207.81000000006</v>
      </c>
      <c r="U125" s="22">
        <f>S125-T125</f>
        <v>244005.28999999992</v>
      </c>
      <c r="V125" s="52">
        <f t="shared" si="30"/>
        <v>73.221929096497846</v>
      </c>
      <c r="W125" s="21">
        <v>40</v>
      </c>
      <c r="X125" s="27" t="s">
        <v>1253</v>
      </c>
      <c r="Y125" s="460" t="s">
        <v>69</v>
      </c>
      <c r="Z125" s="27"/>
      <c r="AA125" s="11" t="s">
        <v>1912</v>
      </c>
      <c r="AB125" s="11" t="s">
        <v>738</v>
      </c>
      <c r="AC125" s="25" t="e">
        <f ca="1">(AD125-L125)/O125*100</f>
        <v>#DIV/0!</v>
      </c>
      <c r="AD125" s="42">
        <f ca="1">TODAY()</f>
        <v>41827</v>
      </c>
    </row>
    <row r="126" spans="1:31" s="349" customFormat="1" ht="165" x14ac:dyDescent="0.2">
      <c r="A126" s="450">
        <v>108</v>
      </c>
      <c r="B126" s="450" t="s">
        <v>102</v>
      </c>
      <c r="C126" s="450" t="s">
        <v>101</v>
      </c>
      <c r="D126" s="336" t="s">
        <v>1676</v>
      </c>
      <c r="E126" s="347" t="s">
        <v>887</v>
      </c>
      <c r="F126" s="336" t="s">
        <v>1816</v>
      </c>
      <c r="G126" s="337" t="s">
        <v>252</v>
      </c>
      <c r="H126" s="338">
        <v>2</v>
      </c>
      <c r="I126" s="337" t="s">
        <v>2164</v>
      </c>
      <c r="J126" s="336" t="s">
        <v>18</v>
      </c>
      <c r="K126" s="339">
        <v>39811</v>
      </c>
      <c r="L126" s="339">
        <v>39951</v>
      </c>
      <c r="M126" s="340">
        <f>L126-K126</f>
        <v>140</v>
      </c>
      <c r="N126" s="339">
        <v>40315</v>
      </c>
      <c r="O126" s="340">
        <f>P126-L126</f>
        <v>1326</v>
      </c>
      <c r="P126" s="339">
        <v>41277</v>
      </c>
      <c r="Q126" s="337" t="s">
        <v>1936</v>
      </c>
      <c r="R126" s="341">
        <v>506872.94</v>
      </c>
      <c r="S126" s="341">
        <v>506872.94</v>
      </c>
      <c r="T126" s="342">
        <v>715440.35</v>
      </c>
      <c r="U126" s="342">
        <v>0</v>
      </c>
      <c r="V126" s="343">
        <f t="shared" si="30"/>
        <v>141.14786833954875</v>
      </c>
      <c r="W126" s="336">
        <v>100</v>
      </c>
      <c r="X126" s="337" t="s">
        <v>2310</v>
      </c>
      <c r="Y126" s="463" t="s">
        <v>649</v>
      </c>
      <c r="Z126" s="337"/>
      <c r="AA126" s="345" t="s">
        <v>1912</v>
      </c>
      <c r="AB126" s="336">
        <v>7</v>
      </c>
      <c r="AC126" s="344">
        <f ca="1">(AD126-L126)/O126*100</f>
        <v>141.47812971342384</v>
      </c>
      <c r="AD126" s="339">
        <f ca="1">TODAY()</f>
        <v>41827</v>
      </c>
    </row>
    <row r="127" spans="1:31" s="4" customFormat="1" ht="150" x14ac:dyDescent="0.2">
      <c r="A127" s="8">
        <v>109</v>
      </c>
      <c r="B127" s="8" t="s">
        <v>102</v>
      </c>
      <c r="C127" s="8" t="s">
        <v>101</v>
      </c>
      <c r="D127" s="21" t="s">
        <v>332</v>
      </c>
      <c r="E127" s="10" t="s">
        <v>1986</v>
      </c>
      <c r="F127" s="21" t="s">
        <v>1816</v>
      </c>
      <c r="G127" s="27" t="s">
        <v>1987</v>
      </c>
      <c r="H127" s="33">
        <v>2</v>
      </c>
      <c r="I127" s="27" t="s">
        <v>1988</v>
      </c>
      <c r="J127" s="21" t="s">
        <v>18</v>
      </c>
      <c r="K127" s="42">
        <v>40354</v>
      </c>
      <c r="L127" s="42">
        <v>40417</v>
      </c>
      <c r="M127" s="56">
        <f>L127-K127</f>
        <v>63</v>
      </c>
      <c r="N127" s="42">
        <v>40782</v>
      </c>
      <c r="O127" s="56">
        <f>P127-L127</f>
        <v>365</v>
      </c>
      <c r="P127" s="42">
        <v>40782</v>
      </c>
      <c r="Q127" s="27" t="s">
        <v>1918</v>
      </c>
      <c r="R127" s="19">
        <v>509308.35</v>
      </c>
      <c r="S127" s="19">
        <v>509308.35</v>
      </c>
      <c r="T127" s="19">
        <v>394877.21</v>
      </c>
      <c r="U127" s="22">
        <f>S127-T127</f>
        <v>114431.13999999996</v>
      </c>
      <c r="V127" s="52">
        <f t="shared" si="30"/>
        <v>77.532051064939353</v>
      </c>
      <c r="W127" s="25">
        <v>85</v>
      </c>
      <c r="X127" s="27" t="s">
        <v>1860</v>
      </c>
      <c r="Y127" s="460" t="s">
        <v>1917</v>
      </c>
      <c r="Z127" s="27"/>
      <c r="AA127" s="11" t="s">
        <v>1912</v>
      </c>
      <c r="AB127" s="11">
        <v>4</v>
      </c>
      <c r="AC127" s="25">
        <f ca="1">(AD127-L127)/O127*100</f>
        <v>386.30136986301369</v>
      </c>
      <c r="AD127" s="42">
        <f ca="1">TODAY()</f>
        <v>41827</v>
      </c>
    </row>
    <row r="128" spans="1:31" s="4" customFormat="1" ht="26.25" x14ac:dyDescent="0.2">
      <c r="A128" s="517" t="s">
        <v>575</v>
      </c>
      <c r="B128" s="517"/>
      <c r="C128" s="517"/>
      <c r="D128" s="517"/>
      <c r="E128" s="518"/>
      <c r="F128" s="518"/>
      <c r="G128" s="518"/>
      <c r="H128" s="33"/>
      <c r="I128" s="27"/>
      <c r="J128" s="21"/>
      <c r="K128" s="42"/>
      <c r="L128" s="42"/>
      <c r="M128" s="56"/>
      <c r="N128" s="42"/>
      <c r="O128" s="56"/>
      <c r="P128" s="42"/>
      <c r="Q128" s="27"/>
      <c r="R128" s="19"/>
      <c r="S128" s="19"/>
      <c r="T128" s="22"/>
      <c r="U128" s="22"/>
      <c r="V128" s="52"/>
      <c r="W128" s="25"/>
      <c r="X128" s="27"/>
      <c r="Y128" s="461"/>
      <c r="Z128" s="58"/>
      <c r="AA128" s="11"/>
      <c r="AB128" s="11"/>
      <c r="AC128" s="25"/>
    </row>
    <row r="129" spans="1:30" s="4" customFormat="1" ht="60" x14ac:dyDescent="0.2">
      <c r="A129" s="8">
        <v>110</v>
      </c>
      <c r="B129" s="8" t="s">
        <v>102</v>
      </c>
      <c r="C129" s="8" t="s">
        <v>101</v>
      </c>
      <c r="D129" s="21" t="s">
        <v>1676</v>
      </c>
      <c r="E129" s="10" t="s">
        <v>2005</v>
      </c>
      <c r="F129" s="21" t="s">
        <v>1818</v>
      </c>
      <c r="G129" s="27" t="s">
        <v>1277</v>
      </c>
      <c r="H129" s="56" t="s">
        <v>2125</v>
      </c>
      <c r="I129" s="27" t="s">
        <v>1278</v>
      </c>
      <c r="J129" s="21" t="s">
        <v>575</v>
      </c>
      <c r="K129" s="42">
        <v>40304</v>
      </c>
      <c r="L129" s="42">
        <v>40661</v>
      </c>
      <c r="M129" s="56">
        <f>L129-K129</f>
        <v>357</v>
      </c>
      <c r="N129" s="42">
        <v>41274</v>
      </c>
      <c r="O129" s="56">
        <f>P129-L129</f>
        <v>613</v>
      </c>
      <c r="P129" s="42">
        <v>41274</v>
      </c>
      <c r="Q129" s="21" t="s">
        <v>723</v>
      </c>
      <c r="R129" s="19">
        <v>632419.04</v>
      </c>
      <c r="S129" s="19">
        <v>632419.04</v>
      </c>
      <c r="T129" s="22">
        <v>268119.71999999997</v>
      </c>
      <c r="U129" s="22">
        <f>S129-T129</f>
        <v>364299.32000000007</v>
      </c>
      <c r="V129" s="52">
        <f>T129/S129*100</f>
        <v>42.3958962399361</v>
      </c>
      <c r="W129" s="21">
        <v>36</v>
      </c>
      <c r="X129" s="27" t="s">
        <v>1253</v>
      </c>
      <c r="Y129" s="460" t="s">
        <v>298</v>
      </c>
      <c r="Z129" s="27"/>
      <c r="AA129" s="11" t="s">
        <v>2255</v>
      </c>
      <c r="AB129" s="11"/>
      <c r="AC129" s="25">
        <f ca="1">(AD129-L129)/O129*100</f>
        <v>190.21207177814031</v>
      </c>
      <c r="AD129" s="42">
        <f ca="1">TODAY()</f>
        <v>41827</v>
      </c>
    </row>
    <row r="130" spans="1:30" s="4" customFormat="1" ht="60" x14ac:dyDescent="0.2">
      <c r="A130" s="8">
        <v>111</v>
      </c>
      <c r="B130" s="8" t="s">
        <v>102</v>
      </c>
      <c r="C130" s="8" t="s">
        <v>101</v>
      </c>
      <c r="D130" s="21" t="s">
        <v>736</v>
      </c>
      <c r="E130" s="10" t="s">
        <v>2006</v>
      </c>
      <c r="F130" s="21" t="s">
        <v>1818</v>
      </c>
      <c r="G130" s="27" t="s">
        <v>542</v>
      </c>
      <c r="H130" s="56" t="s">
        <v>2126</v>
      </c>
      <c r="I130" s="27" t="s">
        <v>543</v>
      </c>
      <c r="J130" s="21" t="s">
        <v>575</v>
      </c>
      <c r="K130" s="42">
        <v>40304</v>
      </c>
      <c r="L130" s="42">
        <v>40389</v>
      </c>
      <c r="M130" s="56">
        <f>L130-K130</f>
        <v>85</v>
      </c>
      <c r="N130" s="42">
        <v>40756</v>
      </c>
      <c r="O130" s="56">
        <f>P130-L130</f>
        <v>885</v>
      </c>
      <c r="P130" s="42">
        <v>41274</v>
      </c>
      <c r="Q130" s="21" t="s">
        <v>362</v>
      </c>
      <c r="R130" s="19">
        <v>623982.56000000006</v>
      </c>
      <c r="S130" s="19">
        <v>623982.56000000006</v>
      </c>
      <c r="T130" s="19">
        <v>357205.06</v>
      </c>
      <c r="U130" s="22">
        <f>S130-T130</f>
        <v>266777.50000000006</v>
      </c>
      <c r="V130" s="52">
        <f t="shared" si="30"/>
        <v>57.246000593349912</v>
      </c>
      <c r="W130" s="21">
        <v>60</v>
      </c>
      <c r="X130" s="27" t="s">
        <v>1253</v>
      </c>
      <c r="Y130" s="460" t="s">
        <v>363</v>
      </c>
      <c r="Z130" s="27"/>
      <c r="AA130" s="11" t="s">
        <v>2255</v>
      </c>
      <c r="AB130" s="11"/>
      <c r="AC130" s="25">
        <f ca="1">(AD130-L130)/O130*100</f>
        <v>162.4858757062147</v>
      </c>
      <c r="AD130" s="42">
        <f ca="1">TODAY()</f>
        <v>41827</v>
      </c>
    </row>
    <row r="131" spans="1:30" s="349" customFormat="1" ht="105" x14ac:dyDescent="0.2">
      <c r="A131" s="450">
        <v>112</v>
      </c>
      <c r="B131" s="450" t="s">
        <v>102</v>
      </c>
      <c r="C131" s="450" t="s">
        <v>101</v>
      </c>
      <c r="D131" s="336" t="s">
        <v>331</v>
      </c>
      <c r="E131" s="347" t="s">
        <v>1210</v>
      </c>
      <c r="F131" s="336" t="s">
        <v>1818</v>
      </c>
      <c r="G131" s="337" t="s">
        <v>1686</v>
      </c>
      <c r="H131" s="340" t="s">
        <v>2125</v>
      </c>
      <c r="I131" s="337" t="s">
        <v>1876</v>
      </c>
      <c r="J131" s="336" t="s">
        <v>575</v>
      </c>
      <c r="K131" s="339">
        <v>40304</v>
      </c>
      <c r="L131" s="339">
        <v>40409</v>
      </c>
      <c r="M131" s="340">
        <f>L131-K131</f>
        <v>105</v>
      </c>
      <c r="N131" s="339">
        <v>41186</v>
      </c>
      <c r="O131" s="340">
        <f>P131-L131</f>
        <v>865</v>
      </c>
      <c r="P131" s="339">
        <v>41274</v>
      </c>
      <c r="Q131" s="337" t="s">
        <v>1042</v>
      </c>
      <c r="R131" s="341">
        <v>659257.92000000004</v>
      </c>
      <c r="S131" s="341">
        <f>2004438.65+197921.02</f>
        <v>2202359.67</v>
      </c>
      <c r="T131" s="342">
        <v>2202359.67</v>
      </c>
      <c r="U131" s="342">
        <f>S131-T131</f>
        <v>0</v>
      </c>
      <c r="V131" s="343">
        <f t="shared" si="30"/>
        <v>100</v>
      </c>
      <c r="W131" s="336">
        <v>100</v>
      </c>
      <c r="X131" s="420" t="s">
        <v>2295</v>
      </c>
      <c r="Y131" s="463" t="s">
        <v>1042</v>
      </c>
      <c r="Z131" s="337"/>
      <c r="AA131" s="345" t="s">
        <v>2255</v>
      </c>
      <c r="AB131" s="345">
        <v>3</v>
      </c>
      <c r="AC131" s="344">
        <f ca="1">(AD131-L131)/O131*100</f>
        <v>163.93063583815029</v>
      </c>
      <c r="AD131" s="339">
        <f ca="1">TODAY()</f>
        <v>41827</v>
      </c>
    </row>
    <row r="132" spans="1:30" s="4" customFormat="1" ht="60" x14ac:dyDescent="0.2">
      <c r="A132" s="8">
        <v>113</v>
      </c>
      <c r="B132" s="8" t="s">
        <v>102</v>
      </c>
      <c r="C132" s="8" t="s">
        <v>101</v>
      </c>
      <c r="D132" s="21" t="s">
        <v>2113</v>
      </c>
      <c r="E132" s="10" t="s">
        <v>1916</v>
      </c>
      <c r="F132" s="21" t="s">
        <v>1818</v>
      </c>
      <c r="G132" s="27" t="s">
        <v>845</v>
      </c>
      <c r="H132" s="56" t="s">
        <v>2125</v>
      </c>
      <c r="I132" s="27" t="s">
        <v>844</v>
      </c>
      <c r="J132" s="21" t="s">
        <v>575</v>
      </c>
      <c r="K132" s="42">
        <v>40304</v>
      </c>
      <c r="L132" s="42">
        <v>40661</v>
      </c>
      <c r="M132" s="56">
        <f>L132-K132</f>
        <v>357</v>
      </c>
      <c r="N132" s="42">
        <v>41274</v>
      </c>
      <c r="O132" s="56">
        <f>P132-L132</f>
        <v>613</v>
      </c>
      <c r="P132" s="42">
        <v>41274</v>
      </c>
      <c r="Q132" s="21" t="s">
        <v>2255</v>
      </c>
      <c r="R132" s="19">
        <v>556969.59</v>
      </c>
      <c r="S132" s="19">
        <v>556969.59</v>
      </c>
      <c r="T132" s="22">
        <v>239305</v>
      </c>
      <c r="U132" s="22">
        <f>S132-T132</f>
        <v>317664.58999999997</v>
      </c>
      <c r="V132" s="52">
        <f t="shared" si="30"/>
        <v>42.965541440063184</v>
      </c>
      <c r="W132" s="21">
        <v>43</v>
      </c>
      <c r="X132" s="27" t="s">
        <v>572</v>
      </c>
      <c r="Y132" s="460" t="s">
        <v>661</v>
      </c>
      <c r="Z132" s="27"/>
      <c r="AA132" s="11" t="s">
        <v>2255</v>
      </c>
      <c r="AB132" s="11">
        <v>1</v>
      </c>
      <c r="AC132" s="25">
        <f ca="1">(AD132-L132)/O132*100</f>
        <v>190.21207177814031</v>
      </c>
      <c r="AD132" s="42">
        <f ca="1">TODAY()</f>
        <v>41827</v>
      </c>
    </row>
    <row r="133" spans="1:30" s="4" customFormat="1" ht="26.25" x14ac:dyDescent="0.2">
      <c r="A133" s="517" t="s">
        <v>576</v>
      </c>
      <c r="B133" s="517"/>
      <c r="C133" s="517"/>
      <c r="D133" s="517"/>
      <c r="E133" s="518"/>
      <c r="F133" s="518"/>
      <c r="G133" s="518"/>
      <c r="H133" s="33"/>
      <c r="I133" s="27"/>
      <c r="J133" s="21"/>
      <c r="K133" s="42"/>
      <c r="L133" s="42"/>
      <c r="M133" s="56"/>
      <c r="N133" s="42"/>
      <c r="O133" s="56"/>
      <c r="P133" s="42"/>
      <c r="Q133" s="27"/>
      <c r="R133" s="19"/>
      <c r="S133" s="19"/>
      <c r="T133" s="22"/>
      <c r="U133" s="22"/>
      <c r="V133" s="52"/>
      <c r="W133" s="25"/>
      <c r="X133" s="27"/>
      <c r="Y133" s="461"/>
      <c r="Z133" s="58"/>
      <c r="AA133" s="11"/>
      <c r="AB133" s="11"/>
      <c r="AC133" s="25"/>
    </row>
    <row r="134" spans="1:30" s="4" customFormat="1" ht="90" x14ac:dyDescent="0.2">
      <c r="A134" s="8">
        <v>114</v>
      </c>
      <c r="B134" s="8" t="s">
        <v>102</v>
      </c>
      <c r="C134" s="8" t="s">
        <v>101</v>
      </c>
      <c r="D134" s="21" t="s">
        <v>736</v>
      </c>
      <c r="E134" s="10" t="s">
        <v>1206</v>
      </c>
      <c r="F134" s="21" t="s">
        <v>1818</v>
      </c>
      <c r="G134" s="27" t="s">
        <v>843</v>
      </c>
      <c r="H134" s="56" t="s">
        <v>2127</v>
      </c>
      <c r="I134" s="27" t="s">
        <v>737</v>
      </c>
      <c r="J134" s="21" t="s">
        <v>576</v>
      </c>
      <c r="K134" s="42">
        <v>40304</v>
      </c>
      <c r="L134" s="42">
        <v>40409</v>
      </c>
      <c r="M134" s="56">
        <f>L134-K134</f>
        <v>105</v>
      </c>
      <c r="N134" s="42">
        <v>40774</v>
      </c>
      <c r="O134" s="56">
        <f>P134-L134</f>
        <v>865</v>
      </c>
      <c r="P134" s="42">
        <v>41274</v>
      </c>
      <c r="Q134" s="21" t="s">
        <v>1770</v>
      </c>
      <c r="R134" s="19">
        <v>1352858.78</v>
      </c>
      <c r="S134" s="19">
        <f>1352858.78+264560.32</f>
        <v>1617419.1</v>
      </c>
      <c r="T134" s="19">
        <v>1617419.1</v>
      </c>
      <c r="U134" s="22">
        <f>S134-T134</f>
        <v>0</v>
      </c>
      <c r="V134" s="52">
        <f t="shared" si="30"/>
        <v>100</v>
      </c>
      <c r="W134" s="21">
        <v>100</v>
      </c>
      <c r="X134" s="42" t="s">
        <v>1771</v>
      </c>
      <c r="Y134" s="467" t="s">
        <v>1769</v>
      </c>
      <c r="Z134" s="57"/>
      <c r="AA134" s="11" t="s">
        <v>2255</v>
      </c>
      <c r="AB134" s="11"/>
      <c r="AC134" s="25">
        <f ca="1">(AD134-L134)/O134*100</f>
        <v>163.93063583815029</v>
      </c>
      <c r="AD134" s="42">
        <f ca="1">TODAY()</f>
        <v>41827</v>
      </c>
    </row>
    <row r="135" spans="1:30" s="4" customFormat="1" ht="45" x14ac:dyDescent="0.2">
      <c r="A135" s="8">
        <v>115</v>
      </c>
      <c r="B135" s="8"/>
      <c r="C135" s="8" t="s">
        <v>101</v>
      </c>
      <c r="D135" s="21" t="s">
        <v>1676</v>
      </c>
      <c r="E135" s="10" t="s">
        <v>1207</v>
      </c>
      <c r="F135" s="21" t="s">
        <v>1818</v>
      </c>
      <c r="G135" s="27" t="s">
        <v>842</v>
      </c>
      <c r="H135" s="56" t="s">
        <v>2125</v>
      </c>
      <c r="I135" s="27" t="s">
        <v>178</v>
      </c>
      <c r="J135" s="21" t="s">
        <v>576</v>
      </c>
      <c r="K135" s="42">
        <v>40304</v>
      </c>
      <c r="L135" s="42">
        <v>40661</v>
      </c>
      <c r="M135" s="56">
        <f>L135-K135</f>
        <v>357</v>
      </c>
      <c r="N135" s="42">
        <v>41274</v>
      </c>
      <c r="O135" s="56">
        <f>P135-L135</f>
        <v>613</v>
      </c>
      <c r="P135" s="42">
        <v>41274</v>
      </c>
      <c r="Q135" s="21" t="s">
        <v>2255</v>
      </c>
      <c r="R135" s="19">
        <v>562982.9</v>
      </c>
      <c r="S135" s="19">
        <v>562982.9</v>
      </c>
      <c r="T135" s="22">
        <v>66897.86</v>
      </c>
      <c r="U135" s="22">
        <f>S135-T135</f>
        <v>496085.04000000004</v>
      </c>
      <c r="V135" s="52">
        <f t="shared" si="30"/>
        <v>11.882751678603382</v>
      </c>
      <c r="W135" s="21">
        <v>5</v>
      </c>
      <c r="X135" s="21" t="s">
        <v>1283</v>
      </c>
      <c r="Y135" s="460" t="s">
        <v>631</v>
      </c>
      <c r="Z135" s="27"/>
      <c r="AA135" s="11" t="s">
        <v>2255</v>
      </c>
      <c r="AB135" s="11">
        <v>1</v>
      </c>
      <c r="AC135" s="25">
        <f ca="1">(AD135-L135)/O135*100</f>
        <v>190.21207177814031</v>
      </c>
      <c r="AD135" s="42">
        <f ca="1">TODAY()</f>
        <v>41827</v>
      </c>
    </row>
    <row r="136" spans="1:30" s="4" customFormat="1" ht="105" x14ac:dyDescent="0.2">
      <c r="A136" s="8">
        <v>116</v>
      </c>
      <c r="B136" s="8" t="s">
        <v>102</v>
      </c>
      <c r="C136" s="8" t="s">
        <v>101</v>
      </c>
      <c r="D136" s="502" t="s">
        <v>2113</v>
      </c>
      <c r="E136" s="10" t="s">
        <v>660</v>
      </c>
      <c r="F136" s="502" t="s">
        <v>1818</v>
      </c>
      <c r="G136" s="27" t="s">
        <v>1909</v>
      </c>
      <c r="H136" s="56" t="s">
        <v>2125</v>
      </c>
      <c r="I136" s="27" t="s">
        <v>1910</v>
      </c>
      <c r="J136" s="502" t="s">
        <v>576</v>
      </c>
      <c r="K136" s="42">
        <v>40304</v>
      </c>
      <c r="L136" s="42">
        <v>40661</v>
      </c>
      <c r="M136" s="56">
        <f>L136-K136</f>
        <v>357</v>
      </c>
      <c r="N136" s="42">
        <v>41274</v>
      </c>
      <c r="O136" s="56">
        <f>P136-L136</f>
        <v>613</v>
      </c>
      <c r="P136" s="42">
        <v>41274</v>
      </c>
      <c r="Q136" s="27" t="s">
        <v>1371</v>
      </c>
      <c r="R136" s="19">
        <v>715324.12</v>
      </c>
      <c r="S136" s="19">
        <v>715324.12</v>
      </c>
      <c r="T136" s="22">
        <v>357889.87</v>
      </c>
      <c r="U136" s="22">
        <f>S136-T136</f>
        <v>357434.25</v>
      </c>
      <c r="V136" s="503">
        <f t="shared" si="30"/>
        <v>50.031847101702652</v>
      </c>
      <c r="W136" s="502">
        <v>52</v>
      </c>
      <c r="X136" s="502" t="s">
        <v>1283</v>
      </c>
      <c r="Y136" s="460" t="s">
        <v>2328</v>
      </c>
      <c r="Z136" s="27"/>
      <c r="AA136" s="11" t="s">
        <v>2255</v>
      </c>
      <c r="AB136" s="11">
        <v>1</v>
      </c>
      <c r="AC136" s="25">
        <f ca="1">(AD136-L136)/O136*100</f>
        <v>190.21207177814031</v>
      </c>
      <c r="AD136" s="42">
        <f ca="1">TODAY()</f>
        <v>41827</v>
      </c>
    </row>
    <row r="137" spans="1:30" s="4" customFormat="1" ht="26.25" x14ac:dyDescent="0.2">
      <c r="A137" s="517" t="s">
        <v>577</v>
      </c>
      <c r="B137" s="517"/>
      <c r="C137" s="517"/>
      <c r="D137" s="517"/>
      <c r="E137" s="518"/>
      <c r="F137" s="518"/>
      <c r="G137" s="518"/>
      <c r="H137" s="33"/>
      <c r="I137" s="27"/>
      <c r="J137" s="21"/>
      <c r="K137" s="42"/>
      <c r="L137" s="42"/>
      <c r="M137" s="56"/>
      <c r="N137" s="42"/>
      <c r="O137" s="56"/>
      <c r="P137" s="42"/>
      <c r="Q137" s="27"/>
      <c r="R137" s="19"/>
      <c r="S137" s="19"/>
      <c r="T137" s="22"/>
      <c r="U137" s="22"/>
      <c r="V137" s="52"/>
      <c r="W137" s="25"/>
      <c r="X137" s="27"/>
      <c r="Y137" s="461"/>
      <c r="Z137" s="58"/>
      <c r="AA137" s="11"/>
      <c r="AB137" s="11"/>
      <c r="AC137" s="25"/>
    </row>
    <row r="138" spans="1:30" s="349" customFormat="1" ht="135" x14ac:dyDescent="0.2">
      <c r="A138" s="450">
        <v>117</v>
      </c>
      <c r="B138" s="450" t="s">
        <v>102</v>
      </c>
      <c r="C138" s="450" t="s">
        <v>101</v>
      </c>
      <c r="D138" s="336" t="s">
        <v>1056</v>
      </c>
      <c r="E138" s="347" t="s">
        <v>1796</v>
      </c>
      <c r="F138" s="336" t="s">
        <v>1816</v>
      </c>
      <c r="G138" s="337" t="s">
        <v>1037</v>
      </c>
      <c r="H138" s="338">
        <v>6.4</v>
      </c>
      <c r="I138" s="337" t="s">
        <v>343</v>
      </c>
      <c r="J138" s="336" t="s">
        <v>577</v>
      </c>
      <c r="K138" s="339">
        <v>40581</v>
      </c>
      <c r="L138" s="339">
        <v>40682</v>
      </c>
      <c r="M138" s="340">
        <f t="shared" ref="M138:M144" si="31">L138-K138</f>
        <v>101</v>
      </c>
      <c r="N138" s="339">
        <v>41050</v>
      </c>
      <c r="O138" s="340">
        <f t="shared" ref="O138:O144" si="32">P138-L138</f>
        <v>368</v>
      </c>
      <c r="P138" s="339">
        <v>41050</v>
      </c>
      <c r="Q138" s="337" t="s">
        <v>2283</v>
      </c>
      <c r="R138" s="341">
        <v>1085513.1100000001</v>
      </c>
      <c r="S138" s="341">
        <v>1085513.1100000001</v>
      </c>
      <c r="T138" s="341">
        <v>985861.91</v>
      </c>
      <c r="U138" s="342">
        <v>25286.32</v>
      </c>
      <c r="V138" s="343">
        <f t="shared" si="30"/>
        <v>90.819898987677817</v>
      </c>
      <c r="W138" s="336">
        <v>100</v>
      </c>
      <c r="X138" s="337" t="s">
        <v>2321</v>
      </c>
      <c r="Y138" s="468" t="s">
        <v>2282</v>
      </c>
      <c r="Z138" s="449"/>
      <c r="AA138" s="345" t="s">
        <v>1507</v>
      </c>
      <c r="AB138" s="345">
        <v>1</v>
      </c>
      <c r="AC138" s="344">
        <f t="shared" ref="AC138:AC144" ca="1" si="33">(AD138-L138)/O138*100</f>
        <v>311.14130434782606</v>
      </c>
      <c r="AD138" s="339">
        <f t="shared" ref="AD138:AD144" ca="1" si="34">TODAY()</f>
        <v>41827</v>
      </c>
    </row>
    <row r="139" spans="1:30" s="4" customFormat="1" ht="150" x14ac:dyDescent="0.2">
      <c r="A139" s="8">
        <v>118</v>
      </c>
      <c r="B139" s="8" t="s">
        <v>102</v>
      </c>
      <c r="C139" s="8" t="s">
        <v>101</v>
      </c>
      <c r="D139" s="21" t="s">
        <v>1056</v>
      </c>
      <c r="E139" s="10" t="s">
        <v>659</v>
      </c>
      <c r="F139" s="21" t="s">
        <v>1816</v>
      </c>
      <c r="G139" s="27" t="s">
        <v>1794</v>
      </c>
      <c r="H139" s="33">
        <v>1.8</v>
      </c>
      <c r="I139" s="27" t="s">
        <v>1876</v>
      </c>
      <c r="J139" s="21" t="s">
        <v>577</v>
      </c>
      <c r="K139" s="42">
        <v>40581</v>
      </c>
      <c r="L139" s="42">
        <v>40668</v>
      </c>
      <c r="M139" s="56">
        <f t="shared" si="31"/>
        <v>87</v>
      </c>
      <c r="N139" s="42">
        <v>40854</v>
      </c>
      <c r="O139" s="56">
        <f t="shared" si="32"/>
        <v>543</v>
      </c>
      <c r="P139" s="42">
        <v>41211</v>
      </c>
      <c r="Q139" s="27" t="s">
        <v>1030</v>
      </c>
      <c r="R139" s="19">
        <v>454625.2</v>
      </c>
      <c r="S139" s="19">
        <v>454625.2</v>
      </c>
      <c r="T139" s="22">
        <v>454028.75</v>
      </c>
      <c r="U139" s="22">
        <v>0</v>
      </c>
      <c r="V139" s="52">
        <f t="shared" si="30"/>
        <v>99.868804017023251</v>
      </c>
      <c r="W139" s="21">
        <v>100</v>
      </c>
      <c r="X139" s="27" t="s">
        <v>2261</v>
      </c>
      <c r="Y139" s="461" t="s">
        <v>1031</v>
      </c>
      <c r="Z139" s="58"/>
      <c r="AA139" s="11" t="s">
        <v>1691</v>
      </c>
      <c r="AB139" s="11"/>
      <c r="AC139" s="25">
        <f t="shared" ca="1" si="33"/>
        <v>213.44383057090241</v>
      </c>
      <c r="AD139" s="42">
        <f t="shared" ca="1" si="34"/>
        <v>41827</v>
      </c>
    </row>
    <row r="140" spans="1:30" s="4" customFormat="1" ht="75" x14ac:dyDescent="0.2">
      <c r="A140" s="8">
        <v>119</v>
      </c>
      <c r="B140" s="8" t="s">
        <v>102</v>
      </c>
      <c r="C140" s="8" t="s">
        <v>101</v>
      </c>
      <c r="D140" s="21" t="s">
        <v>1056</v>
      </c>
      <c r="E140" s="10" t="s">
        <v>2141</v>
      </c>
      <c r="F140" s="21" t="s">
        <v>1817</v>
      </c>
      <c r="G140" s="27" t="s">
        <v>857</v>
      </c>
      <c r="H140" s="33">
        <v>7.7</v>
      </c>
      <c r="I140" s="27" t="s">
        <v>85</v>
      </c>
      <c r="J140" s="21" t="s">
        <v>577</v>
      </c>
      <c r="K140" s="42">
        <v>40581</v>
      </c>
      <c r="L140" s="42">
        <v>40668</v>
      </c>
      <c r="M140" s="56">
        <f t="shared" si="31"/>
        <v>87</v>
      </c>
      <c r="N140" s="42">
        <v>40913</v>
      </c>
      <c r="O140" s="56">
        <f t="shared" si="32"/>
        <v>573</v>
      </c>
      <c r="P140" s="42">
        <v>41241</v>
      </c>
      <c r="Q140" s="21" t="s">
        <v>919</v>
      </c>
      <c r="R140" s="19">
        <v>409515.08</v>
      </c>
      <c r="S140" s="19">
        <v>409515.08</v>
      </c>
      <c r="T140" s="22">
        <v>307111.09999999998</v>
      </c>
      <c r="U140" s="22">
        <v>0</v>
      </c>
      <c r="V140" s="52">
        <f t="shared" si="30"/>
        <v>74.993843938543108</v>
      </c>
      <c r="W140" s="21">
        <v>100</v>
      </c>
      <c r="X140" s="27" t="s">
        <v>2266</v>
      </c>
      <c r="Y140" s="461" t="s">
        <v>874</v>
      </c>
      <c r="Z140" s="58"/>
      <c r="AA140" s="11" t="s">
        <v>754</v>
      </c>
      <c r="AB140" s="11"/>
      <c r="AC140" s="25">
        <f t="shared" ca="1" si="33"/>
        <v>202.26876090750437</v>
      </c>
      <c r="AD140" s="42">
        <f t="shared" ca="1" si="34"/>
        <v>41827</v>
      </c>
    </row>
    <row r="141" spans="1:30" s="4" customFormat="1" ht="75" x14ac:dyDescent="0.2">
      <c r="A141" s="8">
        <v>120</v>
      </c>
      <c r="B141" s="8" t="s">
        <v>102</v>
      </c>
      <c r="C141" s="8" t="s">
        <v>101</v>
      </c>
      <c r="D141" s="21" t="s">
        <v>1056</v>
      </c>
      <c r="E141" s="10" t="s">
        <v>658</v>
      </c>
      <c r="F141" s="21" t="s">
        <v>1486</v>
      </c>
      <c r="G141" s="27" t="s">
        <v>729</v>
      </c>
      <c r="H141" s="33">
        <v>3.6</v>
      </c>
      <c r="I141" s="27" t="s">
        <v>1013</v>
      </c>
      <c r="J141" s="21" t="s">
        <v>577</v>
      </c>
      <c r="K141" s="42">
        <v>40581</v>
      </c>
      <c r="L141" s="42">
        <v>40682</v>
      </c>
      <c r="M141" s="56">
        <f t="shared" si="31"/>
        <v>101</v>
      </c>
      <c r="N141" s="42">
        <v>40868</v>
      </c>
      <c r="O141" s="56">
        <f t="shared" si="32"/>
        <v>186</v>
      </c>
      <c r="P141" s="42">
        <v>40868</v>
      </c>
      <c r="Q141" s="21" t="s">
        <v>696</v>
      </c>
      <c r="R141" s="19">
        <v>173030.04</v>
      </c>
      <c r="S141" s="19">
        <v>173030.04</v>
      </c>
      <c r="T141" s="22">
        <v>98466.16</v>
      </c>
      <c r="U141" s="22">
        <f>S141-T141</f>
        <v>74563.88</v>
      </c>
      <c r="V141" s="52">
        <f t="shared" si="30"/>
        <v>56.906974072247799</v>
      </c>
      <c r="W141" s="21">
        <v>90</v>
      </c>
      <c r="X141" s="27" t="s">
        <v>1608</v>
      </c>
      <c r="Y141" s="461" t="s">
        <v>1049</v>
      </c>
      <c r="Z141" s="58"/>
      <c r="AA141" s="11" t="s">
        <v>755</v>
      </c>
      <c r="AB141" s="11"/>
      <c r="AC141" s="25">
        <f t="shared" ca="1" si="33"/>
        <v>615.5913978494624</v>
      </c>
      <c r="AD141" s="42">
        <f t="shared" ca="1" si="34"/>
        <v>41827</v>
      </c>
    </row>
    <row r="142" spans="1:30" s="4" customFormat="1" ht="120" x14ac:dyDescent="0.2">
      <c r="A142" s="8">
        <v>121</v>
      </c>
      <c r="B142" s="8" t="s">
        <v>102</v>
      </c>
      <c r="C142" s="8" t="s">
        <v>101</v>
      </c>
      <c r="D142" s="114" t="s">
        <v>2221</v>
      </c>
      <c r="E142" s="10" t="s">
        <v>342</v>
      </c>
      <c r="F142" s="21" t="s">
        <v>1817</v>
      </c>
      <c r="G142" s="27" t="s">
        <v>1795</v>
      </c>
      <c r="H142" s="33">
        <v>4.5</v>
      </c>
      <c r="I142" s="27" t="s">
        <v>217</v>
      </c>
      <c r="J142" s="21" t="s">
        <v>577</v>
      </c>
      <c r="K142" s="42">
        <v>40581</v>
      </c>
      <c r="L142" s="42">
        <v>40668</v>
      </c>
      <c r="M142" s="56">
        <f t="shared" si="31"/>
        <v>87</v>
      </c>
      <c r="N142" s="42">
        <v>40854</v>
      </c>
      <c r="O142" s="56">
        <f t="shared" si="32"/>
        <v>186</v>
      </c>
      <c r="P142" s="42">
        <v>40854</v>
      </c>
      <c r="Q142" s="21" t="s">
        <v>1682</v>
      </c>
      <c r="R142" s="19">
        <v>134880.48000000001</v>
      </c>
      <c r="S142" s="19">
        <v>134880.48000000001</v>
      </c>
      <c r="T142" s="22">
        <v>123358.5</v>
      </c>
      <c r="U142" s="22">
        <v>0</v>
      </c>
      <c r="V142" s="52">
        <f t="shared" si="30"/>
        <v>91.457637161433581</v>
      </c>
      <c r="W142" s="21">
        <v>100</v>
      </c>
      <c r="X142" s="21" t="s">
        <v>2262</v>
      </c>
      <c r="Y142" s="460" t="s">
        <v>1077</v>
      </c>
      <c r="Z142" s="27"/>
      <c r="AA142" s="11" t="s">
        <v>756</v>
      </c>
      <c r="AB142" s="11"/>
      <c r="AC142" s="25">
        <f t="shared" ca="1" si="33"/>
        <v>623.11827956989248</v>
      </c>
      <c r="AD142" s="42">
        <f t="shared" ca="1" si="34"/>
        <v>41827</v>
      </c>
    </row>
    <row r="143" spans="1:30" s="349" customFormat="1" ht="90" x14ac:dyDescent="0.2">
      <c r="A143" s="450">
        <v>122</v>
      </c>
      <c r="B143" s="450" t="s">
        <v>102</v>
      </c>
      <c r="C143" s="450" t="s">
        <v>101</v>
      </c>
      <c r="D143" s="350" t="s">
        <v>1056</v>
      </c>
      <c r="E143" s="347" t="s">
        <v>1138</v>
      </c>
      <c r="F143" s="336" t="s">
        <v>1817</v>
      </c>
      <c r="G143" s="337" t="s">
        <v>1262</v>
      </c>
      <c r="H143" s="338">
        <v>1.3</v>
      </c>
      <c r="I143" s="337" t="s">
        <v>217</v>
      </c>
      <c r="J143" s="336" t="s">
        <v>577</v>
      </c>
      <c r="K143" s="339">
        <v>41044</v>
      </c>
      <c r="L143" s="339">
        <v>41088</v>
      </c>
      <c r="M143" s="340">
        <f t="shared" si="31"/>
        <v>44</v>
      </c>
      <c r="N143" s="339">
        <v>41271</v>
      </c>
      <c r="O143" s="340">
        <f t="shared" si="32"/>
        <v>183</v>
      </c>
      <c r="P143" s="339">
        <v>41271</v>
      </c>
      <c r="Q143" s="336" t="s">
        <v>452</v>
      </c>
      <c r="R143" s="341">
        <v>233685.08</v>
      </c>
      <c r="S143" s="341">
        <v>233685.08</v>
      </c>
      <c r="T143" s="342">
        <v>204214.65</v>
      </c>
      <c r="U143" s="342">
        <v>0</v>
      </c>
      <c r="V143" s="343">
        <f t="shared" si="30"/>
        <v>87.388826877608111</v>
      </c>
      <c r="W143" s="336">
        <v>100</v>
      </c>
      <c r="X143" s="336" t="s">
        <v>2312</v>
      </c>
      <c r="Y143" s="469" t="s">
        <v>722</v>
      </c>
      <c r="Z143" s="451"/>
      <c r="AA143" s="345" t="s">
        <v>2158</v>
      </c>
      <c r="AB143" s="452"/>
      <c r="AC143" s="344">
        <f t="shared" ca="1" si="33"/>
        <v>403.82513661202182</v>
      </c>
      <c r="AD143" s="339">
        <f t="shared" ca="1" si="34"/>
        <v>41827</v>
      </c>
    </row>
    <row r="144" spans="1:30" s="4" customFormat="1" ht="135" x14ac:dyDescent="0.2">
      <c r="A144" s="8">
        <v>123</v>
      </c>
      <c r="B144" s="8" t="s">
        <v>102</v>
      </c>
      <c r="C144" s="8" t="s">
        <v>101</v>
      </c>
      <c r="D144" s="114" t="s">
        <v>1056</v>
      </c>
      <c r="E144" s="10" t="s">
        <v>1263</v>
      </c>
      <c r="F144" s="21" t="s">
        <v>1817</v>
      </c>
      <c r="G144" s="27" t="s">
        <v>1264</v>
      </c>
      <c r="H144" s="33">
        <v>1.6</v>
      </c>
      <c r="I144" s="27" t="s">
        <v>896</v>
      </c>
      <c r="J144" s="21" t="s">
        <v>577</v>
      </c>
      <c r="K144" s="42">
        <v>41086</v>
      </c>
      <c r="L144" s="42">
        <v>41088</v>
      </c>
      <c r="M144" s="56">
        <f t="shared" si="31"/>
        <v>2</v>
      </c>
      <c r="N144" s="42">
        <v>41271</v>
      </c>
      <c r="O144" s="56">
        <f t="shared" si="32"/>
        <v>183</v>
      </c>
      <c r="P144" s="42">
        <v>41271</v>
      </c>
      <c r="Q144" s="21" t="s">
        <v>1237</v>
      </c>
      <c r="R144" s="19">
        <v>156346.51999999999</v>
      </c>
      <c r="S144" s="19">
        <v>156346.51999999999</v>
      </c>
      <c r="T144" s="22">
        <v>118562.38</v>
      </c>
      <c r="U144" s="22">
        <v>0</v>
      </c>
      <c r="V144" s="52">
        <f t="shared" si="30"/>
        <v>75.833078983785512</v>
      </c>
      <c r="W144" s="21">
        <v>100</v>
      </c>
      <c r="X144" s="21" t="s">
        <v>267</v>
      </c>
      <c r="Y144" s="460" t="s">
        <v>403</v>
      </c>
      <c r="Z144" s="27"/>
      <c r="AA144" s="11"/>
      <c r="AB144" s="11"/>
      <c r="AC144" s="25">
        <f t="shared" ca="1" si="33"/>
        <v>403.82513661202182</v>
      </c>
      <c r="AD144" s="42">
        <f t="shared" ca="1" si="34"/>
        <v>41827</v>
      </c>
    </row>
    <row r="145" spans="1:28" s="4" customFormat="1" x14ac:dyDescent="0.2">
      <c r="A145" s="209"/>
      <c r="B145" s="209"/>
      <c r="C145" s="209"/>
      <c r="D145" s="210"/>
      <c r="E145" s="209"/>
      <c r="F145" s="210"/>
      <c r="G145" s="123"/>
      <c r="H145" s="211"/>
      <c r="I145" s="123"/>
      <c r="J145" s="123"/>
      <c r="K145" s="46"/>
      <c r="L145" s="46"/>
      <c r="M145" s="46"/>
      <c r="N145" s="46"/>
      <c r="O145" s="46"/>
      <c r="P145" s="212"/>
      <c r="Q145" s="212"/>
      <c r="R145" s="213"/>
      <c r="S145" s="212"/>
      <c r="T145" s="212"/>
      <c r="U145" s="212"/>
      <c r="V145" s="214"/>
      <c r="W145" s="214"/>
      <c r="X145" s="212"/>
      <c r="Y145" s="212"/>
      <c r="Z145" s="212"/>
      <c r="AA145" s="108"/>
      <c r="AB145" s="215"/>
    </row>
    <row r="146" spans="1:28" s="4" customFormat="1" x14ac:dyDescent="0.2">
      <c r="A146" s="209"/>
      <c r="B146" s="209"/>
      <c r="C146" s="209"/>
      <c r="D146" s="210"/>
      <c r="E146" s="209"/>
      <c r="F146" s="210"/>
      <c r="G146" s="123"/>
      <c r="H146" s="211"/>
      <c r="I146" s="123"/>
      <c r="J146" s="123"/>
      <c r="K146" s="46"/>
      <c r="L146" s="46"/>
      <c r="M146" s="46"/>
      <c r="N146" s="46"/>
      <c r="O146" s="46"/>
      <c r="P146" s="212"/>
      <c r="Q146" s="212"/>
      <c r="R146" s="213"/>
      <c r="S146" s="212"/>
      <c r="T146" s="212"/>
      <c r="U146" s="212"/>
      <c r="V146" s="214"/>
      <c r="W146" s="214"/>
      <c r="X146" s="212"/>
      <c r="Y146" s="212"/>
      <c r="Z146" s="212"/>
      <c r="AA146" s="108"/>
      <c r="AB146" s="215"/>
    </row>
    <row r="147" spans="1:28" s="4" customFormat="1" x14ac:dyDescent="0.2">
      <c r="A147" s="209"/>
      <c r="B147" s="209"/>
      <c r="C147" s="209"/>
      <c r="D147" s="210"/>
      <c r="E147" s="209"/>
      <c r="F147" s="210"/>
      <c r="G147" s="123"/>
      <c r="H147" s="211"/>
      <c r="I147" s="123"/>
      <c r="J147" s="123"/>
      <c r="K147" s="46"/>
      <c r="L147" s="46"/>
      <c r="M147" s="46"/>
      <c r="N147" s="46"/>
      <c r="O147" s="46"/>
      <c r="P147" s="212"/>
      <c r="Q147" s="212"/>
      <c r="R147" s="213"/>
      <c r="S147" s="212"/>
      <c r="T147" s="212"/>
      <c r="U147" s="212"/>
      <c r="V147" s="214"/>
      <c r="W147" s="214"/>
      <c r="X147" s="212"/>
      <c r="Y147" s="212"/>
      <c r="Z147" s="212"/>
      <c r="AA147" s="108"/>
      <c r="AB147" s="215"/>
    </row>
    <row r="148" spans="1:28" s="4" customFormat="1" x14ac:dyDescent="0.2">
      <c r="A148" s="209"/>
      <c r="B148" s="209"/>
      <c r="C148" s="209"/>
      <c r="D148" s="210"/>
      <c r="E148" s="209"/>
      <c r="F148" s="210"/>
      <c r="G148" s="123"/>
      <c r="H148" s="211"/>
      <c r="I148" s="123"/>
      <c r="J148" s="123"/>
      <c r="K148" s="46"/>
      <c r="L148" s="46"/>
      <c r="M148" s="46"/>
      <c r="N148" s="46"/>
      <c r="O148" s="46"/>
      <c r="P148" s="212"/>
      <c r="Q148" s="212"/>
      <c r="R148" s="213"/>
      <c r="S148" s="212"/>
      <c r="T148" s="212"/>
      <c r="U148" s="212"/>
      <c r="V148" s="214"/>
      <c r="W148" s="214"/>
      <c r="X148" s="212"/>
      <c r="Y148" s="212"/>
      <c r="Z148" s="212"/>
      <c r="AA148" s="108"/>
      <c r="AB148" s="215"/>
    </row>
    <row r="149" spans="1:28" s="4" customFormat="1" x14ac:dyDescent="0.2">
      <c r="A149" s="209"/>
      <c r="B149" s="209"/>
      <c r="C149" s="209"/>
      <c r="D149" s="210"/>
      <c r="E149" s="209"/>
      <c r="F149" s="210"/>
      <c r="G149" s="123"/>
      <c r="H149" s="211"/>
      <c r="I149" s="123"/>
      <c r="J149" s="123"/>
      <c r="K149" s="46"/>
      <c r="L149" s="46"/>
      <c r="M149" s="46"/>
      <c r="N149" s="46"/>
      <c r="O149" s="46"/>
      <c r="P149" s="212"/>
      <c r="Q149" s="212"/>
      <c r="R149" s="213"/>
      <c r="S149" s="212"/>
      <c r="T149" s="212"/>
      <c r="U149" s="212"/>
      <c r="V149" s="214"/>
      <c r="W149" s="214"/>
      <c r="X149" s="212"/>
      <c r="Y149" s="212"/>
      <c r="Z149" s="212"/>
      <c r="AA149" s="108"/>
      <c r="AB149" s="215"/>
    </row>
    <row r="150" spans="1:28" s="4" customFormat="1" x14ac:dyDescent="0.2">
      <c r="A150" s="209"/>
      <c r="B150" s="209"/>
      <c r="C150" s="209"/>
      <c r="D150" s="210"/>
      <c r="E150" s="209"/>
      <c r="F150" s="210"/>
      <c r="G150" s="123"/>
      <c r="H150" s="211"/>
      <c r="I150" s="123"/>
      <c r="J150" s="123"/>
      <c r="K150" s="46"/>
      <c r="L150" s="46"/>
      <c r="M150" s="46"/>
      <c r="N150" s="46"/>
      <c r="O150" s="46"/>
      <c r="P150" s="212"/>
      <c r="Q150" s="212"/>
      <c r="R150" s="213"/>
      <c r="S150" s="212"/>
      <c r="T150" s="212"/>
      <c r="U150" s="212"/>
      <c r="V150" s="214"/>
      <c r="W150" s="214"/>
      <c r="X150" s="212"/>
      <c r="Y150" s="212"/>
      <c r="Z150" s="212"/>
      <c r="AA150" s="108"/>
      <c r="AB150" s="215"/>
    </row>
    <row r="151" spans="1:28" s="4" customFormat="1" x14ac:dyDescent="0.2">
      <c r="A151" s="209"/>
      <c r="B151" s="209"/>
      <c r="C151" s="209"/>
      <c r="D151" s="210"/>
      <c r="E151" s="209"/>
      <c r="F151" s="210"/>
      <c r="G151" s="123"/>
      <c r="H151" s="211"/>
      <c r="I151" s="123"/>
      <c r="J151" s="123"/>
      <c r="K151" s="46"/>
      <c r="L151" s="46"/>
      <c r="M151" s="46"/>
      <c r="N151" s="46"/>
      <c r="O151" s="46"/>
      <c r="P151" s="212"/>
      <c r="Q151" s="212"/>
      <c r="R151" s="213"/>
      <c r="S151" s="212"/>
      <c r="T151" s="212"/>
      <c r="U151" s="212"/>
      <c r="V151" s="214"/>
      <c r="W151" s="214"/>
      <c r="X151" s="212"/>
      <c r="Y151" s="212"/>
      <c r="Z151" s="212"/>
      <c r="AA151" s="108"/>
      <c r="AB151" s="215"/>
    </row>
    <row r="152" spans="1:28" s="4" customFormat="1" x14ac:dyDescent="0.2">
      <c r="A152" s="209"/>
      <c r="B152" s="209"/>
      <c r="C152" s="209"/>
      <c r="D152" s="210"/>
      <c r="E152" s="209"/>
      <c r="F152" s="210"/>
      <c r="G152" s="123"/>
      <c r="H152" s="211"/>
      <c r="I152" s="123"/>
      <c r="J152" s="123"/>
      <c r="K152" s="46"/>
      <c r="L152" s="46"/>
      <c r="M152" s="46"/>
      <c r="N152" s="46"/>
      <c r="O152" s="46"/>
      <c r="P152" s="212"/>
      <c r="Q152" s="212"/>
      <c r="R152" s="213"/>
      <c r="S152" s="212"/>
      <c r="T152" s="212"/>
      <c r="U152" s="212"/>
      <c r="V152" s="214"/>
      <c r="W152" s="214"/>
      <c r="X152" s="212"/>
      <c r="Y152" s="212"/>
      <c r="Z152" s="212"/>
      <c r="AA152" s="108"/>
      <c r="AB152" s="215"/>
    </row>
    <row r="153" spans="1:28" s="4" customFormat="1" x14ac:dyDescent="0.2">
      <c r="A153" s="209"/>
      <c r="B153" s="209"/>
      <c r="C153" s="209"/>
      <c r="D153" s="210"/>
      <c r="E153" s="209"/>
      <c r="F153" s="210"/>
      <c r="G153" s="123"/>
      <c r="H153" s="211"/>
      <c r="I153" s="123"/>
      <c r="J153" s="123"/>
      <c r="K153" s="46"/>
      <c r="L153" s="46"/>
      <c r="M153" s="46"/>
      <c r="N153" s="46"/>
      <c r="O153" s="46"/>
      <c r="P153" s="212"/>
      <c r="Q153" s="212"/>
      <c r="R153" s="213"/>
      <c r="S153" s="212"/>
      <c r="T153" s="212"/>
      <c r="U153" s="212"/>
      <c r="V153" s="214"/>
      <c r="W153" s="214"/>
      <c r="X153" s="212"/>
      <c r="Y153" s="212"/>
      <c r="Z153" s="212"/>
      <c r="AA153" s="108"/>
      <c r="AB153" s="215"/>
    </row>
    <row r="154" spans="1:28" s="4" customFormat="1" x14ac:dyDescent="0.2">
      <c r="A154" s="209"/>
      <c r="B154" s="209"/>
      <c r="C154" s="209"/>
      <c r="D154" s="210"/>
      <c r="E154" s="209"/>
      <c r="F154" s="210"/>
      <c r="G154" s="123"/>
      <c r="H154" s="211"/>
      <c r="I154" s="123"/>
      <c r="J154" s="123"/>
      <c r="K154" s="46"/>
      <c r="L154" s="46"/>
      <c r="M154" s="46"/>
      <c r="N154" s="46"/>
      <c r="O154" s="46"/>
      <c r="P154" s="212"/>
      <c r="Q154" s="212"/>
      <c r="R154" s="213"/>
      <c r="S154" s="212"/>
      <c r="T154" s="212"/>
      <c r="U154" s="212"/>
      <c r="V154" s="214"/>
      <c r="W154" s="214"/>
      <c r="X154" s="212"/>
      <c r="Y154" s="212"/>
      <c r="Z154" s="212"/>
      <c r="AA154" s="108"/>
      <c r="AB154" s="215"/>
    </row>
    <row r="155" spans="1:28" s="4" customFormat="1" x14ac:dyDescent="0.2">
      <c r="A155" s="209"/>
      <c r="B155" s="209"/>
      <c r="C155" s="209"/>
      <c r="D155" s="210"/>
      <c r="E155" s="209"/>
      <c r="F155" s="210"/>
      <c r="G155" s="123"/>
      <c r="H155" s="211"/>
      <c r="I155" s="123"/>
      <c r="J155" s="123"/>
      <c r="K155" s="46"/>
      <c r="L155" s="46"/>
      <c r="M155" s="46"/>
      <c r="N155" s="46"/>
      <c r="O155" s="46"/>
      <c r="P155" s="212"/>
      <c r="Q155" s="212"/>
      <c r="R155" s="213"/>
      <c r="S155" s="212"/>
      <c r="T155" s="212"/>
      <c r="U155" s="212"/>
      <c r="V155" s="214"/>
      <c r="W155" s="214"/>
      <c r="X155" s="212"/>
      <c r="Y155" s="212"/>
      <c r="Z155" s="212"/>
      <c r="AA155" s="108"/>
      <c r="AB155" s="215"/>
    </row>
    <row r="156" spans="1:28" s="4" customFormat="1" x14ac:dyDescent="0.2">
      <c r="A156" s="209"/>
      <c r="B156" s="209"/>
      <c r="C156" s="209"/>
      <c r="D156" s="210"/>
      <c r="E156" s="209"/>
      <c r="F156" s="210"/>
      <c r="G156" s="123"/>
      <c r="H156" s="211"/>
      <c r="I156" s="123"/>
      <c r="J156" s="123"/>
      <c r="K156" s="46"/>
      <c r="L156" s="46"/>
      <c r="M156" s="46"/>
      <c r="N156" s="46"/>
      <c r="O156" s="46"/>
      <c r="P156" s="212"/>
      <c r="Q156" s="212"/>
      <c r="R156" s="213"/>
      <c r="S156" s="212"/>
      <c r="T156" s="212"/>
      <c r="U156" s="212"/>
      <c r="V156" s="214"/>
      <c r="W156" s="214"/>
      <c r="X156" s="212"/>
      <c r="Y156" s="212"/>
      <c r="Z156" s="212"/>
      <c r="AA156" s="108"/>
      <c r="AB156" s="215"/>
    </row>
    <row r="157" spans="1:28" s="4" customFormat="1" x14ac:dyDescent="0.2">
      <c r="A157" s="209"/>
      <c r="B157" s="209"/>
      <c r="C157" s="209"/>
      <c r="D157" s="210"/>
      <c r="E157" s="209"/>
      <c r="F157" s="210"/>
      <c r="G157" s="123"/>
      <c r="H157" s="211"/>
      <c r="I157" s="123"/>
      <c r="J157" s="123"/>
      <c r="K157" s="46"/>
      <c r="L157" s="46"/>
      <c r="M157" s="46"/>
      <c r="N157" s="46"/>
      <c r="O157" s="46"/>
      <c r="P157" s="212"/>
      <c r="Q157" s="212"/>
      <c r="R157" s="213"/>
      <c r="S157" s="212"/>
      <c r="T157" s="212"/>
      <c r="U157" s="212"/>
      <c r="V157" s="214"/>
      <c r="W157" s="214"/>
      <c r="X157" s="212"/>
      <c r="Y157" s="212"/>
      <c r="Z157" s="212"/>
      <c r="AA157" s="108"/>
      <c r="AB157" s="215"/>
    </row>
    <row r="158" spans="1:28" s="4" customFormat="1" x14ac:dyDescent="0.2">
      <c r="A158" s="209"/>
      <c r="B158" s="209"/>
      <c r="C158" s="209"/>
      <c r="D158" s="210"/>
      <c r="E158" s="209"/>
      <c r="F158" s="210"/>
      <c r="G158" s="123"/>
      <c r="H158" s="211"/>
      <c r="I158" s="123"/>
      <c r="J158" s="123"/>
      <c r="K158" s="46"/>
      <c r="L158" s="46"/>
      <c r="M158" s="46"/>
      <c r="N158" s="46"/>
      <c r="O158" s="46"/>
      <c r="P158" s="212"/>
      <c r="Q158" s="212"/>
      <c r="R158" s="213"/>
      <c r="S158" s="212"/>
      <c r="T158" s="212"/>
      <c r="U158" s="212"/>
      <c r="V158" s="214"/>
      <c r="W158" s="214"/>
      <c r="X158" s="212"/>
      <c r="Y158" s="212"/>
      <c r="Z158" s="212"/>
      <c r="AA158" s="108"/>
      <c r="AB158" s="215"/>
    </row>
    <row r="159" spans="1:28" s="4" customFormat="1" x14ac:dyDescent="0.2">
      <c r="A159" s="209"/>
      <c r="B159" s="209"/>
      <c r="C159" s="209"/>
      <c r="D159" s="210"/>
      <c r="E159" s="209"/>
      <c r="F159" s="210"/>
      <c r="G159" s="123"/>
      <c r="H159" s="211"/>
      <c r="I159" s="123"/>
      <c r="J159" s="123"/>
      <c r="K159" s="46"/>
      <c r="L159" s="46"/>
      <c r="M159" s="46"/>
      <c r="N159" s="46"/>
      <c r="O159" s="46"/>
      <c r="P159" s="212"/>
      <c r="Q159" s="212"/>
      <c r="R159" s="213"/>
      <c r="S159" s="212"/>
      <c r="T159" s="212"/>
      <c r="U159" s="212"/>
      <c r="V159" s="214"/>
      <c r="W159" s="214"/>
      <c r="X159" s="212"/>
      <c r="Y159" s="212"/>
      <c r="Z159" s="212"/>
      <c r="AA159" s="108"/>
      <c r="AB159" s="215"/>
    </row>
    <row r="160" spans="1:28" s="4" customFormat="1" x14ac:dyDescent="0.2">
      <c r="A160" s="209"/>
      <c r="B160" s="209"/>
      <c r="C160" s="209"/>
      <c r="D160" s="210"/>
      <c r="E160" s="209"/>
      <c r="F160" s="210"/>
      <c r="G160" s="123"/>
      <c r="H160" s="211"/>
      <c r="I160" s="123"/>
      <c r="J160" s="123"/>
      <c r="K160" s="46"/>
      <c r="L160" s="46"/>
      <c r="M160" s="46"/>
      <c r="N160" s="46"/>
      <c r="O160" s="46"/>
      <c r="P160" s="212"/>
      <c r="Q160" s="212"/>
      <c r="R160" s="213"/>
      <c r="S160" s="212"/>
      <c r="T160" s="212"/>
      <c r="U160" s="212"/>
      <c r="V160" s="214"/>
      <c r="W160" s="214"/>
      <c r="X160" s="212"/>
      <c r="Y160" s="212"/>
      <c r="Z160" s="212"/>
      <c r="AA160" s="108"/>
      <c r="AB160" s="215"/>
    </row>
    <row r="161" spans="1:28" s="4" customFormat="1" x14ac:dyDescent="0.2">
      <c r="A161" s="209"/>
      <c r="B161" s="209"/>
      <c r="C161" s="209"/>
      <c r="D161" s="210"/>
      <c r="E161" s="209"/>
      <c r="F161" s="210"/>
      <c r="G161" s="123"/>
      <c r="H161" s="211"/>
      <c r="I161" s="123"/>
      <c r="J161" s="123"/>
      <c r="K161" s="46"/>
      <c r="L161" s="46"/>
      <c r="M161" s="46"/>
      <c r="N161" s="46"/>
      <c r="O161" s="46"/>
      <c r="P161" s="212"/>
      <c r="Q161" s="212"/>
      <c r="R161" s="213"/>
      <c r="S161" s="212"/>
      <c r="T161" s="212"/>
      <c r="U161" s="212"/>
      <c r="V161" s="214"/>
      <c r="W161" s="214"/>
      <c r="X161" s="212"/>
      <c r="Y161" s="212"/>
      <c r="Z161" s="212"/>
      <c r="AA161" s="108"/>
      <c r="AB161" s="215"/>
    </row>
    <row r="162" spans="1:28" s="4" customFormat="1" x14ac:dyDescent="0.2">
      <c r="A162" s="209"/>
      <c r="B162" s="209"/>
      <c r="C162" s="209"/>
      <c r="D162" s="210"/>
      <c r="E162" s="209"/>
      <c r="F162" s="210"/>
      <c r="G162" s="123"/>
      <c r="H162" s="211"/>
      <c r="I162" s="123"/>
      <c r="J162" s="123"/>
      <c r="K162" s="46"/>
      <c r="L162" s="46"/>
      <c r="M162" s="46"/>
      <c r="N162" s="46"/>
      <c r="O162" s="46"/>
      <c r="P162" s="212"/>
      <c r="Q162" s="212"/>
      <c r="R162" s="213"/>
      <c r="S162" s="212"/>
      <c r="T162" s="212"/>
      <c r="U162" s="212"/>
      <c r="V162" s="214"/>
      <c r="W162" s="214"/>
      <c r="X162" s="212"/>
      <c r="Y162" s="212"/>
      <c r="Z162" s="212"/>
      <c r="AA162" s="108"/>
      <c r="AB162" s="215"/>
    </row>
    <row r="163" spans="1:28" s="4" customFormat="1" x14ac:dyDescent="0.2">
      <c r="A163" s="209"/>
      <c r="B163" s="209"/>
      <c r="C163" s="209"/>
      <c r="D163" s="210"/>
      <c r="E163" s="209"/>
      <c r="F163" s="210"/>
      <c r="G163" s="123"/>
      <c r="H163" s="211"/>
      <c r="I163" s="123"/>
      <c r="J163" s="123"/>
      <c r="K163" s="46"/>
      <c r="L163" s="46"/>
      <c r="M163" s="46"/>
      <c r="N163" s="46"/>
      <c r="O163" s="46"/>
      <c r="P163" s="212"/>
      <c r="Q163" s="212"/>
      <c r="R163" s="213"/>
      <c r="S163" s="212"/>
      <c r="T163" s="212"/>
      <c r="U163" s="212"/>
      <c r="V163" s="214"/>
      <c r="W163" s="214"/>
      <c r="X163" s="212"/>
      <c r="Y163" s="212"/>
      <c r="Z163" s="212"/>
      <c r="AA163" s="108"/>
      <c r="AB163" s="215"/>
    </row>
    <row r="164" spans="1:28" s="4" customFormat="1" x14ac:dyDescent="0.2">
      <c r="A164" s="209"/>
      <c r="B164" s="209"/>
      <c r="C164" s="209"/>
      <c r="D164" s="210"/>
      <c r="E164" s="209"/>
      <c r="F164" s="210"/>
      <c r="G164" s="123"/>
      <c r="H164" s="211"/>
      <c r="I164" s="123"/>
      <c r="J164" s="123"/>
      <c r="K164" s="46"/>
      <c r="L164" s="46"/>
      <c r="M164" s="46"/>
      <c r="N164" s="46"/>
      <c r="O164" s="46"/>
      <c r="P164" s="212"/>
      <c r="Q164" s="212"/>
      <c r="R164" s="213"/>
      <c r="S164" s="212"/>
      <c r="T164" s="212"/>
      <c r="U164" s="212"/>
      <c r="V164" s="214"/>
      <c r="W164" s="214"/>
      <c r="X164" s="212"/>
      <c r="Y164" s="212"/>
      <c r="Z164" s="212"/>
      <c r="AA164" s="108"/>
      <c r="AB164" s="215"/>
    </row>
    <row r="165" spans="1:28" s="4" customFormat="1" x14ac:dyDescent="0.2">
      <c r="A165" s="209"/>
      <c r="B165" s="209"/>
      <c r="C165" s="209"/>
      <c r="D165" s="210"/>
      <c r="E165" s="209"/>
      <c r="F165" s="210"/>
      <c r="G165" s="123"/>
      <c r="H165" s="211"/>
      <c r="I165" s="123"/>
      <c r="J165" s="123"/>
      <c r="K165" s="46"/>
      <c r="L165" s="46"/>
      <c r="M165" s="46"/>
      <c r="N165" s="46"/>
      <c r="O165" s="46"/>
      <c r="P165" s="212"/>
      <c r="Q165" s="212"/>
      <c r="R165" s="213"/>
      <c r="S165" s="212"/>
      <c r="T165" s="212"/>
      <c r="U165" s="212"/>
      <c r="V165" s="214"/>
      <c r="W165" s="214"/>
      <c r="X165" s="212"/>
      <c r="Y165" s="212"/>
      <c r="Z165" s="212"/>
      <c r="AA165" s="108"/>
      <c r="AB165" s="215"/>
    </row>
    <row r="166" spans="1:28" s="4" customFormat="1" x14ac:dyDescent="0.2">
      <c r="A166" s="209"/>
      <c r="B166" s="209"/>
      <c r="C166" s="209"/>
      <c r="D166" s="210"/>
      <c r="E166" s="209"/>
      <c r="F166" s="210"/>
      <c r="G166" s="123"/>
      <c r="H166" s="211"/>
      <c r="I166" s="123"/>
      <c r="J166" s="123"/>
      <c r="K166" s="46"/>
      <c r="L166" s="46"/>
      <c r="M166" s="46"/>
      <c r="N166" s="46"/>
      <c r="O166" s="46"/>
      <c r="P166" s="212"/>
      <c r="Q166" s="212"/>
      <c r="R166" s="213"/>
      <c r="S166" s="212"/>
      <c r="T166" s="212"/>
      <c r="U166" s="212"/>
      <c r="V166" s="214"/>
      <c r="W166" s="214"/>
      <c r="X166" s="212"/>
      <c r="Y166" s="212"/>
      <c r="Z166" s="212"/>
      <c r="AA166" s="108"/>
      <c r="AB166" s="215"/>
    </row>
    <row r="167" spans="1:28" s="4" customFormat="1" x14ac:dyDescent="0.2">
      <c r="A167" s="209"/>
      <c r="B167" s="209"/>
      <c r="C167" s="209"/>
      <c r="D167" s="210"/>
      <c r="E167" s="209"/>
      <c r="F167" s="210"/>
      <c r="G167" s="123"/>
      <c r="H167" s="211"/>
      <c r="I167" s="123"/>
      <c r="J167" s="123"/>
      <c r="K167" s="46"/>
      <c r="L167" s="46"/>
      <c r="M167" s="46"/>
      <c r="N167" s="46"/>
      <c r="O167" s="46"/>
      <c r="P167" s="212"/>
      <c r="Q167" s="212"/>
      <c r="R167" s="213"/>
      <c r="S167" s="212"/>
      <c r="T167" s="212"/>
      <c r="U167" s="212"/>
      <c r="V167" s="214"/>
      <c r="W167" s="214"/>
      <c r="X167" s="212"/>
      <c r="Y167" s="212"/>
      <c r="Z167" s="212"/>
      <c r="AA167" s="108"/>
      <c r="AB167" s="215"/>
    </row>
    <row r="168" spans="1:28" s="4" customFormat="1" x14ac:dyDescent="0.2">
      <c r="A168" s="209"/>
      <c r="B168" s="209"/>
      <c r="C168" s="209"/>
      <c r="D168" s="210"/>
      <c r="E168" s="209"/>
      <c r="F168" s="210"/>
      <c r="G168" s="123"/>
      <c r="H168" s="211"/>
      <c r="I168" s="123"/>
      <c r="J168" s="123"/>
      <c r="K168" s="46"/>
      <c r="L168" s="46"/>
      <c r="M168" s="46"/>
      <c r="N168" s="46"/>
      <c r="O168" s="46"/>
      <c r="P168" s="212"/>
      <c r="Q168" s="212"/>
      <c r="R168" s="213"/>
      <c r="S168" s="212"/>
      <c r="T168" s="212"/>
      <c r="U168" s="212"/>
      <c r="V168" s="214"/>
      <c r="W168" s="214"/>
      <c r="X168" s="212"/>
      <c r="Y168" s="212"/>
      <c r="Z168" s="212"/>
      <c r="AA168" s="108"/>
      <c r="AB168" s="215"/>
    </row>
    <row r="169" spans="1:28" s="4" customFormat="1" x14ac:dyDescent="0.2">
      <c r="A169" s="209"/>
      <c r="B169" s="209"/>
      <c r="C169" s="209"/>
      <c r="D169" s="210"/>
      <c r="E169" s="209"/>
      <c r="F169" s="210"/>
      <c r="G169" s="123"/>
      <c r="H169" s="211"/>
      <c r="I169" s="123"/>
      <c r="J169" s="123"/>
      <c r="K169" s="46"/>
      <c r="L169" s="46"/>
      <c r="M169" s="46"/>
      <c r="N169" s="46"/>
      <c r="O169" s="46"/>
      <c r="P169" s="212"/>
      <c r="Q169" s="212"/>
      <c r="R169" s="213"/>
      <c r="S169" s="212"/>
      <c r="T169" s="212"/>
      <c r="U169" s="212"/>
      <c r="V169" s="214"/>
      <c r="W169" s="214"/>
      <c r="X169" s="212"/>
      <c r="Y169" s="212"/>
      <c r="Z169" s="212"/>
      <c r="AA169" s="108"/>
      <c r="AB169" s="215"/>
    </row>
    <row r="170" spans="1:28" s="4" customFormat="1" x14ac:dyDescent="0.2">
      <c r="A170" s="209"/>
      <c r="B170" s="209"/>
      <c r="C170" s="209"/>
      <c r="D170" s="210"/>
      <c r="E170" s="209"/>
      <c r="F170" s="210"/>
      <c r="G170" s="123"/>
      <c r="H170" s="211"/>
      <c r="I170" s="123"/>
      <c r="J170" s="123"/>
      <c r="K170" s="46"/>
      <c r="L170" s="46"/>
      <c r="M170" s="46"/>
      <c r="N170" s="46"/>
      <c r="O170" s="46"/>
      <c r="P170" s="212"/>
      <c r="Q170" s="212"/>
      <c r="R170" s="213"/>
      <c r="S170" s="212"/>
      <c r="T170" s="212"/>
      <c r="U170" s="212"/>
      <c r="V170" s="214"/>
      <c r="W170" s="214"/>
      <c r="X170" s="212"/>
      <c r="Y170" s="212"/>
      <c r="Z170" s="212"/>
      <c r="AA170" s="108"/>
      <c r="AB170" s="215"/>
    </row>
    <row r="171" spans="1:28" s="4" customFormat="1" x14ac:dyDescent="0.2">
      <c r="A171" s="209"/>
      <c r="B171" s="209"/>
      <c r="C171" s="209"/>
      <c r="D171" s="210"/>
      <c r="E171" s="209"/>
      <c r="F171" s="210"/>
      <c r="G171" s="123"/>
      <c r="H171" s="211"/>
      <c r="I171" s="123"/>
      <c r="J171" s="123"/>
      <c r="K171" s="46"/>
      <c r="L171" s="46"/>
      <c r="M171" s="46"/>
      <c r="N171" s="46"/>
      <c r="O171" s="46"/>
      <c r="P171" s="212"/>
      <c r="Q171" s="212"/>
      <c r="R171" s="213"/>
      <c r="S171" s="212"/>
      <c r="T171" s="212"/>
      <c r="U171" s="212"/>
      <c r="V171" s="214"/>
      <c r="W171" s="214"/>
      <c r="X171" s="212"/>
      <c r="Y171" s="212"/>
      <c r="Z171" s="212"/>
      <c r="AA171" s="108"/>
      <c r="AB171" s="215"/>
    </row>
    <row r="172" spans="1:28" s="4" customFormat="1" x14ac:dyDescent="0.2">
      <c r="A172" s="209"/>
      <c r="B172" s="209"/>
      <c r="C172" s="209"/>
      <c r="D172" s="210"/>
      <c r="E172" s="209"/>
      <c r="F172" s="210"/>
      <c r="G172" s="123"/>
      <c r="H172" s="211"/>
      <c r="I172" s="123"/>
      <c r="J172" s="123"/>
      <c r="K172" s="46"/>
      <c r="L172" s="46"/>
      <c r="M172" s="46"/>
      <c r="N172" s="46"/>
      <c r="O172" s="46"/>
      <c r="P172" s="212"/>
      <c r="Q172" s="212"/>
      <c r="R172" s="213"/>
      <c r="S172" s="212"/>
      <c r="T172" s="212"/>
      <c r="U172" s="212"/>
      <c r="V172" s="214"/>
      <c r="W172" s="214"/>
      <c r="X172" s="212"/>
      <c r="Y172" s="212"/>
      <c r="Z172" s="212"/>
      <c r="AA172" s="108"/>
      <c r="AB172" s="215"/>
    </row>
    <row r="173" spans="1:28" s="4" customFormat="1" x14ac:dyDescent="0.2">
      <c r="A173" s="209"/>
      <c r="B173" s="209"/>
      <c r="C173" s="209"/>
      <c r="D173" s="210"/>
      <c r="E173" s="209"/>
      <c r="F173" s="210"/>
      <c r="G173" s="123"/>
      <c r="H173" s="211"/>
      <c r="I173" s="123"/>
      <c r="J173" s="123"/>
      <c r="K173" s="46"/>
      <c r="L173" s="46"/>
      <c r="M173" s="46"/>
      <c r="N173" s="46"/>
      <c r="O173" s="46"/>
      <c r="P173" s="212"/>
      <c r="Q173" s="212"/>
      <c r="R173" s="213"/>
      <c r="S173" s="212"/>
      <c r="T173" s="212"/>
      <c r="U173" s="212"/>
      <c r="V173" s="214"/>
      <c r="W173" s="214"/>
      <c r="X173" s="212"/>
      <c r="Y173" s="212"/>
      <c r="Z173" s="212"/>
      <c r="AA173" s="108"/>
      <c r="AB173" s="215"/>
    </row>
    <row r="174" spans="1:28" s="4" customFormat="1" x14ac:dyDescent="0.2">
      <c r="A174" s="209"/>
      <c r="B174" s="209"/>
      <c r="C174" s="209"/>
      <c r="D174" s="210"/>
      <c r="E174" s="209"/>
      <c r="F174" s="210"/>
      <c r="G174" s="123"/>
      <c r="H174" s="211"/>
      <c r="I174" s="123"/>
      <c r="J174" s="123"/>
      <c r="K174" s="46"/>
      <c r="L174" s="46"/>
      <c r="M174" s="46"/>
      <c r="N174" s="46"/>
      <c r="O174" s="46"/>
      <c r="P174" s="212"/>
      <c r="Q174" s="212"/>
      <c r="R174" s="213"/>
      <c r="S174" s="212"/>
      <c r="T174" s="212"/>
      <c r="U174" s="212"/>
      <c r="V174" s="214"/>
      <c r="W174" s="214"/>
      <c r="X174" s="212"/>
      <c r="Y174" s="212"/>
      <c r="Z174" s="212"/>
      <c r="AA174" s="108"/>
      <c r="AB174" s="215"/>
    </row>
    <row r="175" spans="1:28" s="4" customFormat="1" x14ac:dyDescent="0.2">
      <c r="A175" s="209"/>
      <c r="B175" s="209"/>
      <c r="C175" s="209"/>
      <c r="D175" s="210"/>
      <c r="E175" s="209"/>
      <c r="F175" s="210"/>
      <c r="G175" s="123"/>
      <c r="H175" s="211"/>
      <c r="I175" s="123"/>
      <c r="J175" s="123"/>
      <c r="K175" s="46"/>
      <c r="L175" s="46"/>
      <c r="M175" s="46"/>
      <c r="N175" s="46"/>
      <c r="O175" s="46"/>
      <c r="P175" s="212"/>
      <c r="Q175" s="212"/>
      <c r="R175" s="213"/>
      <c r="S175" s="212"/>
      <c r="T175" s="212"/>
      <c r="U175" s="212"/>
      <c r="V175" s="214"/>
      <c r="W175" s="214"/>
      <c r="X175" s="212"/>
      <c r="Y175" s="212"/>
      <c r="Z175" s="212"/>
      <c r="AA175" s="108"/>
      <c r="AB175" s="215"/>
    </row>
    <row r="176" spans="1:28" s="4" customFormat="1" x14ac:dyDescent="0.2">
      <c r="A176" s="209"/>
      <c r="B176" s="209"/>
      <c r="C176" s="209"/>
      <c r="D176" s="210"/>
      <c r="E176" s="209"/>
      <c r="F176" s="210"/>
      <c r="G176" s="123"/>
      <c r="H176" s="211"/>
      <c r="I176" s="123"/>
      <c r="J176" s="123"/>
      <c r="K176" s="46"/>
      <c r="L176" s="46"/>
      <c r="M176" s="46"/>
      <c r="N176" s="46"/>
      <c r="O176" s="46"/>
      <c r="P176" s="212"/>
      <c r="Q176" s="212"/>
      <c r="R176" s="213"/>
      <c r="S176" s="212"/>
      <c r="T176" s="212"/>
      <c r="U176" s="212"/>
      <c r="V176" s="214"/>
      <c r="W176" s="214"/>
      <c r="X176" s="212"/>
      <c r="Y176" s="212"/>
      <c r="Z176" s="212"/>
      <c r="AA176" s="108"/>
      <c r="AB176" s="215"/>
    </row>
    <row r="177" spans="1:28" s="4" customFormat="1" x14ac:dyDescent="0.2">
      <c r="A177" s="209"/>
      <c r="B177" s="209"/>
      <c r="C177" s="209"/>
      <c r="D177" s="210"/>
      <c r="E177" s="209"/>
      <c r="F177" s="210"/>
      <c r="G177" s="123"/>
      <c r="H177" s="211"/>
      <c r="I177" s="123"/>
      <c r="J177" s="123"/>
      <c r="K177" s="46"/>
      <c r="L177" s="46"/>
      <c r="M177" s="46"/>
      <c r="N177" s="46"/>
      <c r="O177" s="46"/>
      <c r="P177" s="212"/>
      <c r="Q177" s="212"/>
      <c r="R177" s="213"/>
      <c r="S177" s="212"/>
      <c r="T177" s="212"/>
      <c r="U177" s="212"/>
      <c r="V177" s="214"/>
      <c r="W177" s="214"/>
      <c r="X177" s="212"/>
      <c r="Y177" s="212"/>
      <c r="Z177" s="212"/>
      <c r="AA177" s="108"/>
      <c r="AB177" s="215"/>
    </row>
    <row r="178" spans="1:28" s="4" customFormat="1" x14ac:dyDescent="0.2">
      <c r="A178" s="209"/>
      <c r="B178" s="209"/>
      <c r="C178" s="209"/>
      <c r="D178" s="210"/>
      <c r="E178" s="209"/>
      <c r="F178" s="210"/>
      <c r="G178" s="123"/>
      <c r="H178" s="211"/>
      <c r="I178" s="123"/>
      <c r="J178" s="123"/>
      <c r="K178" s="46"/>
      <c r="L178" s="46"/>
      <c r="M178" s="46"/>
      <c r="N178" s="46"/>
      <c r="O178" s="46"/>
      <c r="P178" s="212"/>
      <c r="Q178" s="212"/>
      <c r="R178" s="213"/>
      <c r="S178" s="212"/>
      <c r="T178" s="212"/>
      <c r="U178" s="212"/>
      <c r="V178" s="214"/>
      <c r="W178" s="214"/>
      <c r="X178" s="212"/>
      <c r="Y178" s="212"/>
      <c r="Z178" s="212"/>
      <c r="AA178" s="108"/>
      <c r="AB178" s="215"/>
    </row>
    <row r="179" spans="1:28" s="4" customFormat="1" x14ac:dyDescent="0.2">
      <c r="A179" s="209"/>
      <c r="B179" s="209"/>
      <c r="C179" s="209"/>
      <c r="D179" s="210"/>
      <c r="E179" s="209"/>
      <c r="F179" s="210"/>
      <c r="G179" s="123"/>
      <c r="H179" s="211"/>
      <c r="I179" s="123"/>
      <c r="J179" s="123"/>
      <c r="K179" s="46"/>
      <c r="L179" s="46"/>
      <c r="M179" s="46"/>
      <c r="N179" s="46"/>
      <c r="O179" s="46"/>
      <c r="P179" s="212"/>
      <c r="Q179" s="212"/>
      <c r="R179" s="213"/>
      <c r="S179" s="212"/>
      <c r="T179" s="212"/>
      <c r="U179" s="212"/>
      <c r="V179" s="214"/>
      <c r="W179" s="214"/>
      <c r="X179" s="212"/>
      <c r="Y179" s="212"/>
      <c r="Z179" s="212"/>
      <c r="AA179" s="108"/>
      <c r="AB179" s="215"/>
    </row>
    <row r="180" spans="1:28" s="4" customFormat="1" x14ac:dyDescent="0.2">
      <c r="A180" s="209"/>
      <c r="B180" s="209"/>
      <c r="C180" s="209"/>
      <c r="D180" s="210"/>
      <c r="E180" s="209"/>
      <c r="F180" s="210"/>
      <c r="G180" s="123"/>
      <c r="H180" s="211"/>
      <c r="I180" s="123"/>
      <c r="J180" s="123"/>
      <c r="K180" s="46"/>
      <c r="L180" s="46"/>
      <c r="M180" s="46"/>
      <c r="N180" s="46"/>
      <c r="O180" s="46"/>
      <c r="P180" s="212"/>
      <c r="Q180" s="212"/>
      <c r="R180" s="213"/>
      <c r="S180" s="212"/>
      <c r="T180" s="212"/>
      <c r="U180" s="212"/>
      <c r="V180" s="214"/>
      <c r="W180" s="214"/>
      <c r="X180" s="212"/>
      <c r="Y180" s="212"/>
      <c r="Z180" s="212"/>
      <c r="AA180" s="108"/>
      <c r="AB180" s="215"/>
    </row>
    <row r="181" spans="1:28" s="4" customFormat="1" x14ac:dyDescent="0.2">
      <c r="A181" s="209"/>
      <c r="B181" s="209"/>
      <c r="C181" s="209"/>
      <c r="D181" s="210"/>
      <c r="E181" s="209"/>
      <c r="F181" s="210"/>
      <c r="G181" s="123"/>
      <c r="H181" s="211"/>
      <c r="I181" s="123"/>
      <c r="J181" s="123"/>
      <c r="K181" s="46"/>
      <c r="L181" s="46"/>
      <c r="M181" s="46"/>
      <c r="N181" s="46"/>
      <c r="O181" s="46"/>
      <c r="P181" s="212"/>
      <c r="Q181" s="212"/>
      <c r="R181" s="213"/>
      <c r="S181" s="212"/>
      <c r="T181" s="212"/>
      <c r="U181" s="212"/>
      <c r="V181" s="214"/>
      <c r="W181" s="214"/>
      <c r="X181" s="212"/>
      <c r="Y181" s="212"/>
      <c r="Z181" s="212"/>
      <c r="AA181" s="108"/>
      <c r="AB181" s="215"/>
    </row>
    <row r="182" spans="1:28" s="4" customFormat="1" x14ac:dyDescent="0.2">
      <c r="A182" s="209"/>
      <c r="B182" s="209"/>
      <c r="C182" s="209"/>
      <c r="D182" s="210"/>
      <c r="E182" s="209"/>
      <c r="F182" s="210"/>
      <c r="G182" s="123"/>
      <c r="H182" s="211"/>
      <c r="I182" s="123"/>
      <c r="J182" s="123"/>
      <c r="K182" s="46"/>
      <c r="L182" s="46"/>
      <c r="M182" s="46"/>
      <c r="N182" s="46"/>
      <c r="O182" s="46"/>
      <c r="P182" s="212"/>
      <c r="Q182" s="212"/>
      <c r="R182" s="213"/>
      <c r="S182" s="212"/>
      <c r="T182" s="212"/>
      <c r="U182" s="212"/>
      <c r="V182" s="214"/>
      <c r="W182" s="214"/>
      <c r="X182" s="212"/>
      <c r="Y182" s="212"/>
      <c r="Z182" s="212"/>
      <c r="AA182" s="108"/>
      <c r="AB182" s="215"/>
    </row>
    <row r="183" spans="1:28" s="4" customFormat="1" x14ac:dyDescent="0.2">
      <c r="A183" s="209"/>
      <c r="B183" s="209"/>
      <c r="C183" s="209"/>
      <c r="D183" s="210"/>
      <c r="E183" s="209"/>
      <c r="F183" s="210"/>
      <c r="G183" s="123"/>
      <c r="H183" s="211"/>
      <c r="I183" s="123"/>
      <c r="J183" s="123"/>
      <c r="K183" s="45"/>
      <c r="L183" s="46"/>
      <c r="M183" s="46"/>
      <c r="N183" s="46"/>
      <c r="O183" s="46"/>
      <c r="P183" s="212"/>
      <c r="Q183" s="212"/>
      <c r="R183" s="213"/>
      <c r="S183" s="212"/>
      <c r="T183" s="212"/>
      <c r="U183" s="212"/>
      <c r="V183" s="214"/>
      <c r="W183" s="214"/>
      <c r="X183" s="212"/>
      <c r="Y183" s="212"/>
      <c r="Z183" s="212"/>
      <c r="AA183" s="108"/>
      <c r="AB183" s="215"/>
    </row>
    <row r="184" spans="1:28" s="4" customFormat="1" x14ac:dyDescent="0.2">
      <c r="A184" s="209"/>
      <c r="B184" s="209"/>
      <c r="C184" s="209"/>
      <c r="D184" s="210"/>
      <c r="E184" s="209"/>
      <c r="F184" s="210"/>
      <c r="G184" s="123"/>
      <c r="H184" s="211"/>
      <c r="I184" s="123"/>
      <c r="J184" s="123"/>
      <c r="K184" s="45"/>
      <c r="L184" s="46"/>
      <c r="M184" s="46"/>
      <c r="N184" s="46"/>
      <c r="O184" s="46"/>
      <c r="P184" s="212"/>
      <c r="Q184" s="212"/>
      <c r="R184" s="213"/>
      <c r="S184" s="212"/>
      <c r="T184" s="212"/>
      <c r="U184" s="212"/>
      <c r="V184" s="214"/>
      <c r="W184" s="214"/>
      <c r="X184" s="212"/>
      <c r="Y184" s="212"/>
      <c r="Z184" s="212"/>
      <c r="AA184" s="108"/>
      <c r="AB184" s="215"/>
    </row>
    <row r="185" spans="1:28" s="4" customFormat="1" x14ac:dyDescent="0.2">
      <c r="A185" s="209"/>
      <c r="B185" s="209"/>
      <c r="C185" s="209"/>
      <c r="D185" s="210"/>
      <c r="E185" s="209"/>
      <c r="F185" s="210"/>
      <c r="G185" s="123"/>
      <c r="H185" s="211"/>
      <c r="I185" s="123"/>
      <c r="J185" s="123"/>
      <c r="K185" s="45"/>
      <c r="L185" s="46"/>
      <c r="M185" s="46"/>
      <c r="N185" s="46"/>
      <c r="O185" s="46"/>
      <c r="P185" s="212"/>
      <c r="Q185" s="212"/>
      <c r="R185" s="213"/>
      <c r="S185" s="212"/>
      <c r="T185" s="212"/>
      <c r="U185" s="212"/>
      <c r="V185" s="214"/>
      <c r="W185" s="214"/>
      <c r="X185" s="212"/>
      <c r="Y185" s="212"/>
      <c r="Z185" s="212"/>
      <c r="AA185" s="108"/>
      <c r="AB185" s="215"/>
    </row>
    <row r="186" spans="1:28" s="4" customFormat="1" x14ac:dyDescent="0.2">
      <c r="A186" s="209"/>
      <c r="B186" s="209"/>
      <c r="C186" s="209"/>
      <c r="D186" s="210"/>
      <c r="E186" s="209"/>
      <c r="F186" s="210"/>
      <c r="G186" s="123"/>
      <c r="H186" s="211"/>
      <c r="I186" s="123"/>
      <c r="J186" s="123"/>
      <c r="K186" s="46"/>
      <c r="L186" s="46"/>
      <c r="M186" s="46"/>
      <c r="N186" s="46"/>
      <c r="O186" s="46"/>
      <c r="P186" s="212"/>
      <c r="Q186" s="212"/>
      <c r="R186" s="213"/>
      <c r="S186" s="212"/>
      <c r="T186" s="212"/>
      <c r="U186" s="212"/>
      <c r="V186" s="214"/>
      <c r="W186" s="214"/>
      <c r="X186" s="212"/>
      <c r="Y186" s="212"/>
      <c r="Z186" s="212"/>
      <c r="AA186" s="108"/>
      <c r="AB186" s="215"/>
    </row>
    <row r="187" spans="1:28" s="4" customFormat="1" x14ac:dyDescent="0.2">
      <c r="A187" s="209"/>
      <c r="B187" s="209"/>
      <c r="C187" s="209"/>
      <c r="D187" s="210"/>
      <c r="E187" s="209"/>
      <c r="F187" s="210"/>
      <c r="G187" s="123"/>
      <c r="H187" s="211"/>
      <c r="I187" s="123"/>
      <c r="J187" s="123"/>
      <c r="K187" s="46"/>
      <c r="L187" s="46"/>
      <c r="M187" s="46"/>
      <c r="N187" s="46"/>
      <c r="O187" s="46"/>
      <c r="P187" s="212"/>
      <c r="Q187" s="212"/>
      <c r="R187" s="213"/>
      <c r="S187" s="212"/>
      <c r="T187" s="212"/>
      <c r="U187" s="212"/>
      <c r="V187" s="214"/>
      <c r="W187" s="214"/>
      <c r="X187" s="212"/>
      <c r="Y187" s="212"/>
      <c r="Z187" s="212"/>
      <c r="AA187" s="108"/>
      <c r="AB187" s="215"/>
    </row>
    <row r="188" spans="1:28" s="4" customFormat="1" x14ac:dyDescent="0.2">
      <c r="A188" s="209"/>
      <c r="B188" s="209"/>
      <c r="C188" s="209"/>
      <c r="D188" s="210"/>
      <c r="E188" s="209"/>
      <c r="F188" s="210"/>
      <c r="G188" s="123"/>
      <c r="H188" s="211"/>
      <c r="I188" s="123"/>
      <c r="J188" s="123"/>
      <c r="K188" s="46"/>
      <c r="L188" s="46"/>
      <c r="M188" s="46"/>
      <c r="N188" s="46"/>
      <c r="O188" s="46"/>
      <c r="P188" s="212"/>
      <c r="Q188" s="212"/>
      <c r="R188" s="213"/>
      <c r="S188" s="212"/>
      <c r="T188" s="212"/>
      <c r="U188" s="212"/>
      <c r="V188" s="214"/>
      <c r="W188" s="214"/>
      <c r="X188" s="212"/>
      <c r="Y188" s="212"/>
      <c r="Z188" s="212"/>
      <c r="AA188" s="108"/>
      <c r="AB188" s="215"/>
    </row>
    <row r="189" spans="1:28" s="4" customFormat="1" x14ac:dyDescent="0.2">
      <c r="A189" s="209"/>
      <c r="B189" s="209"/>
      <c r="C189" s="209"/>
      <c r="D189" s="210"/>
      <c r="E189" s="209"/>
      <c r="F189" s="210"/>
      <c r="G189" s="123"/>
      <c r="H189" s="211"/>
      <c r="I189" s="123"/>
      <c r="J189" s="123"/>
      <c r="K189" s="46"/>
      <c r="L189" s="46"/>
      <c r="M189" s="46"/>
      <c r="N189" s="46"/>
      <c r="O189" s="46"/>
      <c r="P189" s="212"/>
      <c r="Q189" s="212"/>
      <c r="R189" s="213"/>
      <c r="S189" s="212"/>
      <c r="T189" s="212"/>
      <c r="U189" s="212"/>
      <c r="V189" s="214"/>
      <c r="W189" s="214"/>
      <c r="X189" s="212"/>
      <c r="Y189" s="212"/>
      <c r="Z189" s="212"/>
      <c r="AA189" s="108"/>
      <c r="AB189" s="215"/>
    </row>
    <row r="190" spans="1:28" s="4" customFormat="1" x14ac:dyDescent="0.2">
      <c r="A190" s="209"/>
      <c r="B190" s="209"/>
      <c r="C190" s="209"/>
      <c r="D190" s="210"/>
      <c r="E190" s="209"/>
      <c r="F190" s="210"/>
      <c r="G190" s="123"/>
      <c r="H190" s="211"/>
      <c r="I190" s="123"/>
      <c r="J190" s="123"/>
      <c r="K190" s="46"/>
      <c r="L190" s="46"/>
      <c r="M190" s="46"/>
      <c r="N190" s="46"/>
      <c r="O190" s="46"/>
      <c r="P190" s="212"/>
      <c r="Q190" s="212"/>
      <c r="R190" s="213"/>
      <c r="S190" s="212"/>
      <c r="T190" s="212"/>
      <c r="U190" s="212"/>
      <c r="V190" s="214"/>
      <c r="W190" s="214"/>
      <c r="X190" s="212"/>
      <c r="Y190" s="212"/>
      <c r="Z190" s="212"/>
      <c r="AA190" s="108"/>
      <c r="AB190" s="215"/>
    </row>
    <row r="191" spans="1:28" s="4" customFormat="1" x14ac:dyDescent="0.2">
      <c r="A191" s="209"/>
      <c r="B191" s="209"/>
      <c r="C191" s="209"/>
      <c r="D191" s="210"/>
      <c r="E191" s="209"/>
      <c r="F191" s="210"/>
      <c r="G191" s="123"/>
      <c r="H191" s="211"/>
      <c r="I191" s="123"/>
      <c r="J191" s="123"/>
      <c r="K191" s="46"/>
      <c r="L191" s="46"/>
      <c r="M191" s="46"/>
      <c r="N191" s="46"/>
      <c r="O191" s="46"/>
      <c r="P191" s="212"/>
      <c r="Q191" s="212"/>
      <c r="R191" s="213"/>
      <c r="S191" s="212"/>
      <c r="T191" s="212"/>
      <c r="U191" s="212"/>
      <c r="V191" s="214"/>
      <c r="W191" s="214"/>
      <c r="X191" s="212"/>
      <c r="Y191" s="212"/>
      <c r="Z191" s="212"/>
      <c r="AA191" s="108"/>
      <c r="AB191" s="215"/>
    </row>
    <row r="192" spans="1:28" s="4" customFormat="1" x14ac:dyDescent="0.2">
      <c r="A192" s="209"/>
      <c r="B192" s="209"/>
      <c r="C192" s="209"/>
      <c r="D192" s="210"/>
      <c r="E192" s="209"/>
      <c r="F192" s="210"/>
      <c r="G192" s="123"/>
      <c r="H192" s="211"/>
      <c r="I192" s="123"/>
      <c r="J192" s="123"/>
      <c r="K192" s="46"/>
      <c r="L192" s="46"/>
      <c r="M192" s="46"/>
      <c r="N192" s="46"/>
      <c r="O192" s="46"/>
      <c r="P192" s="212"/>
      <c r="Q192" s="212"/>
      <c r="R192" s="213"/>
      <c r="S192" s="212"/>
      <c r="T192" s="212"/>
      <c r="U192" s="212"/>
      <c r="V192" s="214"/>
      <c r="W192" s="214"/>
      <c r="X192" s="212"/>
      <c r="Y192" s="212"/>
      <c r="Z192" s="212"/>
      <c r="AA192" s="108"/>
      <c r="AB192" s="215"/>
    </row>
    <row r="193" spans="1:28" s="4" customFormat="1" x14ac:dyDescent="0.2">
      <c r="A193" s="209"/>
      <c r="B193" s="209"/>
      <c r="C193" s="209"/>
      <c r="D193" s="210"/>
      <c r="E193" s="209"/>
      <c r="F193" s="210"/>
      <c r="G193" s="123"/>
      <c r="H193" s="211"/>
      <c r="I193" s="123"/>
      <c r="J193" s="123"/>
      <c r="K193" s="46"/>
      <c r="L193" s="46"/>
      <c r="M193" s="46"/>
      <c r="N193" s="46"/>
      <c r="O193" s="46"/>
      <c r="P193" s="212"/>
      <c r="Q193" s="212"/>
      <c r="R193" s="213"/>
      <c r="S193" s="212"/>
      <c r="T193" s="212"/>
      <c r="U193" s="212"/>
      <c r="V193" s="214"/>
      <c r="W193" s="214"/>
      <c r="X193" s="212"/>
      <c r="Y193" s="212"/>
      <c r="Z193" s="212"/>
      <c r="AA193" s="108"/>
      <c r="AB193" s="215"/>
    </row>
    <row r="194" spans="1:28" s="4" customFormat="1" x14ac:dyDescent="0.2">
      <c r="A194" s="209"/>
      <c r="B194" s="209"/>
      <c r="C194" s="209"/>
      <c r="D194" s="210"/>
      <c r="E194" s="209"/>
      <c r="F194" s="210"/>
      <c r="G194" s="123"/>
      <c r="H194" s="211"/>
      <c r="I194" s="123"/>
      <c r="J194" s="123"/>
      <c r="K194" s="46"/>
      <c r="L194" s="46"/>
      <c r="M194" s="46"/>
      <c r="N194" s="46"/>
      <c r="O194" s="46"/>
      <c r="P194" s="212"/>
      <c r="Q194" s="212"/>
      <c r="R194" s="213"/>
      <c r="S194" s="212"/>
      <c r="T194" s="212"/>
      <c r="U194" s="212"/>
      <c r="V194" s="214"/>
      <c r="W194" s="214"/>
      <c r="X194" s="212"/>
      <c r="Y194" s="212"/>
      <c r="Z194" s="212"/>
      <c r="AA194" s="108"/>
      <c r="AB194" s="215"/>
    </row>
    <row r="195" spans="1:28" s="4" customFormat="1" x14ac:dyDescent="0.2">
      <c r="A195" s="209"/>
      <c r="B195" s="209"/>
      <c r="C195" s="209"/>
      <c r="D195" s="210"/>
      <c r="E195" s="209"/>
      <c r="F195" s="210"/>
      <c r="G195" s="123"/>
      <c r="H195" s="211"/>
      <c r="I195" s="123"/>
      <c r="J195" s="123"/>
      <c r="K195" s="46"/>
      <c r="L195" s="46"/>
      <c r="M195" s="46"/>
      <c r="N195" s="46"/>
      <c r="O195" s="46"/>
      <c r="P195" s="212"/>
      <c r="Q195" s="212"/>
      <c r="R195" s="213"/>
      <c r="S195" s="212"/>
      <c r="T195" s="212"/>
      <c r="U195" s="212"/>
      <c r="V195" s="214"/>
      <c r="W195" s="214"/>
      <c r="X195" s="212"/>
      <c r="Y195" s="212"/>
      <c r="Z195" s="212"/>
      <c r="AA195" s="108"/>
      <c r="AB195" s="215"/>
    </row>
    <row r="196" spans="1:28" s="4" customFormat="1" x14ac:dyDescent="0.2">
      <c r="A196" s="209"/>
      <c r="B196" s="209"/>
      <c r="C196" s="209"/>
      <c r="D196" s="210"/>
      <c r="E196" s="209"/>
      <c r="F196" s="210"/>
      <c r="G196" s="123"/>
      <c r="H196" s="211"/>
      <c r="I196" s="123"/>
      <c r="J196" s="123"/>
      <c r="K196" s="46"/>
      <c r="L196" s="46"/>
      <c r="M196" s="46"/>
      <c r="N196" s="46"/>
      <c r="O196" s="46"/>
      <c r="P196" s="212"/>
      <c r="Q196" s="212"/>
      <c r="R196" s="213"/>
      <c r="S196" s="212"/>
      <c r="T196" s="212"/>
      <c r="U196" s="212"/>
      <c r="V196" s="214"/>
      <c r="W196" s="214"/>
      <c r="X196" s="212"/>
      <c r="Y196" s="212"/>
      <c r="Z196" s="212"/>
      <c r="AA196" s="108"/>
      <c r="AB196" s="215"/>
    </row>
    <row r="197" spans="1:28" s="4" customFormat="1" x14ac:dyDescent="0.2">
      <c r="A197" s="209"/>
      <c r="B197" s="209"/>
      <c r="C197" s="209"/>
      <c r="D197" s="210"/>
      <c r="E197" s="209"/>
      <c r="F197" s="210"/>
      <c r="G197" s="123"/>
      <c r="H197" s="211"/>
      <c r="I197" s="123"/>
      <c r="J197" s="123"/>
      <c r="K197" s="46"/>
      <c r="L197" s="46"/>
      <c r="M197" s="46"/>
      <c r="N197" s="46"/>
      <c r="O197" s="46"/>
      <c r="P197" s="212"/>
      <c r="Q197" s="212"/>
      <c r="R197" s="213"/>
      <c r="S197" s="212"/>
      <c r="T197" s="212"/>
      <c r="U197" s="212"/>
      <c r="V197" s="214"/>
      <c r="W197" s="214"/>
      <c r="X197" s="212"/>
      <c r="Y197" s="212"/>
      <c r="Z197" s="212"/>
      <c r="AA197" s="108"/>
      <c r="AB197" s="215"/>
    </row>
    <row r="198" spans="1:28" s="4" customFormat="1" x14ac:dyDescent="0.2">
      <c r="A198" s="209"/>
      <c r="B198" s="209"/>
      <c r="C198" s="209"/>
      <c r="D198" s="210"/>
      <c r="E198" s="209"/>
      <c r="F198" s="210"/>
      <c r="G198" s="123"/>
      <c r="H198" s="211"/>
      <c r="I198" s="123"/>
      <c r="J198" s="123"/>
      <c r="K198" s="46"/>
      <c r="L198" s="46"/>
      <c r="M198" s="46"/>
      <c r="N198" s="46"/>
      <c r="O198" s="46"/>
      <c r="P198" s="212"/>
      <c r="Q198" s="212"/>
      <c r="R198" s="213"/>
      <c r="S198" s="212"/>
      <c r="T198" s="212"/>
      <c r="U198" s="212"/>
      <c r="V198" s="214"/>
      <c r="W198" s="214"/>
      <c r="X198" s="212"/>
      <c r="Y198" s="212"/>
      <c r="Z198" s="212"/>
      <c r="AA198" s="108"/>
      <c r="AB198" s="215"/>
    </row>
    <row r="199" spans="1:28" s="4" customFormat="1" x14ac:dyDescent="0.2">
      <c r="A199" s="209"/>
      <c r="B199" s="209"/>
      <c r="C199" s="209"/>
      <c r="D199" s="210"/>
      <c r="E199" s="209"/>
      <c r="F199" s="210"/>
      <c r="G199" s="123"/>
      <c r="H199" s="211"/>
      <c r="I199" s="123"/>
      <c r="J199" s="123"/>
      <c r="K199" s="46"/>
      <c r="L199" s="46"/>
      <c r="M199" s="46"/>
      <c r="N199" s="46"/>
      <c r="O199" s="46"/>
      <c r="P199" s="212"/>
      <c r="Q199" s="212"/>
      <c r="R199" s="213"/>
      <c r="S199" s="212"/>
      <c r="T199" s="212"/>
      <c r="U199" s="212"/>
      <c r="V199" s="214"/>
      <c r="W199" s="214"/>
      <c r="X199" s="212"/>
      <c r="Y199" s="212"/>
      <c r="Z199" s="212"/>
      <c r="AA199" s="108"/>
      <c r="AB199" s="215"/>
    </row>
    <row r="200" spans="1:28" s="4" customFormat="1" x14ac:dyDescent="0.2">
      <c r="A200" s="209"/>
      <c r="B200" s="209"/>
      <c r="C200" s="209"/>
      <c r="D200" s="210"/>
      <c r="E200" s="209"/>
      <c r="F200" s="210"/>
      <c r="G200" s="123"/>
      <c r="H200" s="211"/>
      <c r="I200" s="123"/>
      <c r="J200" s="123"/>
      <c r="K200" s="46"/>
      <c r="L200" s="46"/>
      <c r="M200" s="46"/>
      <c r="N200" s="46"/>
      <c r="O200" s="46"/>
      <c r="P200" s="212"/>
      <c r="Q200" s="212"/>
      <c r="R200" s="213"/>
      <c r="S200" s="212"/>
      <c r="T200" s="212"/>
      <c r="U200" s="212"/>
      <c r="V200" s="214"/>
      <c r="W200" s="214"/>
      <c r="X200" s="212"/>
      <c r="Y200" s="212"/>
      <c r="Z200" s="212"/>
      <c r="AA200" s="108"/>
      <c r="AB200" s="215"/>
    </row>
    <row r="201" spans="1:28" s="4" customFormat="1" x14ac:dyDescent="0.2">
      <c r="A201" s="209"/>
      <c r="B201" s="209"/>
      <c r="C201" s="209"/>
      <c r="D201" s="210"/>
      <c r="E201" s="209"/>
      <c r="F201" s="210"/>
      <c r="G201" s="123"/>
      <c r="H201" s="211"/>
      <c r="I201" s="123"/>
      <c r="J201" s="123"/>
      <c r="K201" s="46"/>
      <c r="L201" s="46"/>
      <c r="M201" s="46"/>
      <c r="N201" s="46"/>
      <c r="O201" s="46"/>
      <c r="P201" s="212"/>
      <c r="Q201" s="212"/>
      <c r="R201" s="213"/>
      <c r="S201" s="212"/>
      <c r="T201" s="212"/>
      <c r="U201" s="212"/>
      <c r="V201" s="214"/>
      <c r="W201" s="214"/>
      <c r="X201" s="212"/>
      <c r="Y201" s="212"/>
      <c r="Z201" s="212"/>
      <c r="AA201" s="108"/>
      <c r="AB201" s="215"/>
    </row>
    <row r="202" spans="1:28" s="4" customFormat="1" x14ac:dyDescent="0.2">
      <c r="A202" s="209"/>
      <c r="B202" s="209"/>
      <c r="C202" s="209"/>
      <c r="D202" s="210"/>
      <c r="E202" s="209"/>
      <c r="F202" s="210"/>
      <c r="G202" s="123"/>
      <c r="H202" s="211"/>
      <c r="I202" s="123"/>
      <c r="J202" s="123"/>
      <c r="K202" s="46"/>
      <c r="L202" s="46"/>
      <c r="M202" s="46"/>
      <c r="N202" s="46"/>
      <c r="O202" s="46"/>
      <c r="P202" s="212"/>
      <c r="Q202" s="212"/>
      <c r="R202" s="213"/>
      <c r="S202" s="212"/>
      <c r="T202" s="212"/>
      <c r="U202" s="212"/>
      <c r="V202" s="214"/>
      <c r="W202" s="214"/>
      <c r="X202" s="212"/>
      <c r="Y202" s="212"/>
      <c r="Z202" s="212"/>
      <c r="AA202" s="108"/>
      <c r="AB202" s="215"/>
    </row>
    <row r="203" spans="1:28" s="4" customFormat="1" x14ac:dyDescent="0.2">
      <c r="A203" s="209"/>
      <c r="B203" s="209"/>
      <c r="C203" s="209"/>
      <c r="D203" s="210"/>
      <c r="E203" s="209"/>
      <c r="F203" s="210"/>
      <c r="G203" s="123"/>
      <c r="H203" s="211"/>
      <c r="I203" s="123"/>
      <c r="J203" s="123"/>
      <c r="K203" s="46"/>
      <c r="L203" s="46"/>
      <c r="M203" s="46"/>
      <c r="N203" s="46"/>
      <c r="O203" s="46"/>
      <c r="P203" s="212"/>
      <c r="Q203" s="212"/>
      <c r="R203" s="213"/>
      <c r="S203" s="212"/>
      <c r="T203" s="212"/>
      <c r="U203" s="212"/>
      <c r="V203" s="214"/>
      <c r="W203" s="214"/>
      <c r="X203" s="212"/>
      <c r="Y203" s="212"/>
      <c r="Z203" s="212"/>
      <c r="AA203" s="108"/>
      <c r="AB203" s="215"/>
    </row>
    <row r="204" spans="1:28" s="4" customFormat="1" x14ac:dyDescent="0.2">
      <c r="A204" s="209"/>
      <c r="B204" s="209"/>
      <c r="C204" s="209"/>
      <c r="D204" s="210"/>
      <c r="E204" s="209"/>
      <c r="F204" s="210"/>
      <c r="G204" s="123"/>
      <c r="H204" s="211"/>
      <c r="I204" s="123"/>
      <c r="J204" s="123"/>
      <c r="K204" s="46"/>
      <c r="L204" s="46"/>
      <c r="M204" s="46"/>
      <c r="N204" s="46"/>
      <c r="O204" s="46"/>
      <c r="P204" s="212"/>
      <c r="Q204" s="212"/>
      <c r="R204" s="213"/>
      <c r="S204" s="212"/>
      <c r="T204" s="212"/>
      <c r="U204" s="212"/>
      <c r="V204" s="214"/>
      <c r="W204" s="214"/>
      <c r="X204" s="212"/>
      <c r="Y204" s="212"/>
      <c r="Z204" s="212"/>
      <c r="AA204" s="108"/>
      <c r="AB204" s="215"/>
    </row>
    <row r="205" spans="1:28" s="4" customFormat="1" x14ac:dyDescent="0.2">
      <c r="A205" s="209"/>
      <c r="B205" s="209"/>
      <c r="C205" s="209"/>
      <c r="D205" s="210"/>
      <c r="E205" s="209"/>
      <c r="F205" s="210"/>
      <c r="G205" s="123"/>
      <c r="H205" s="211"/>
      <c r="I205" s="123"/>
      <c r="J205" s="123"/>
      <c r="K205" s="46"/>
      <c r="L205" s="46"/>
      <c r="M205" s="46"/>
      <c r="N205" s="46"/>
      <c r="O205" s="46"/>
      <c r="P205" s="212"/>
      <c r="Q205" s="212"/>
      <c r="R205" s="213"/>
      <c r="S205" s="212"/>
      <c r="T205" s="212"/>
      <c r="U205" s="212"/>
      <c r="V205" s="214"/>
      <c r="W205" s="214"/>
      <c r="X205" s="212"/>
      <c r="Y205" s="212"/>
      <c r="Z205" s="212"/>
      <c r="AA205" s="108"/>
      <c r="AB205" s="215"/>
    </row>
    <row r="206" spans="1:28" s="4" customFormat="1" x14ac:dyDescent="0.2">
      <c r="A206" s="209"/>
      <c r="B206" s="209"/>
      <c r="C206" s="209"/>
      <c r="D206" s="210"/>
      <c r="E206" s="209"/>
      <c r="F206" s="210"/>
      <c r="G206" s="123"/>
      <c r="H206" s="211"/>
      <c r="I206" s="123"/>
      <c r="J206" s="123"/>
      <c r="K206" s="46"/>
      <c r="L206" s="46"/>
      <c r="M206" s="46"/>
      <c r="N206" s="46"/>
      <c r="O206" s="46"/>
      <c r="P206" s="212"/>
      <c r="Q206" s="212"/>
      <c r="R206" s="213"/>
      <c r="S206" s="212"/>
      <c r="T206" s="212"/>
      <c r="U206" s="212"/>
      <c r="V206" s="214"/>
      <c r="W206" s="214"/>
      <c r="X206" s="212"/>
      <c r="Y206" s="212"/>
      <c r="Z206" s="212"/>
      <c r="AA206" s="108"/>
      <c r="AB206" s="215"/>
    </row>
    <row r="207" spans="1:28" s="4" customFormat="1" x14ac:dyDescent="0.2">
      <c r="A207" s="209"/>
      <c r="B207" s="209"/>
      <c r="C207" s="209"/>
      <c r="D207" s="210"/>
      <c r="E207" s="209"/>
      <c r="F207" s="210"/>
      <c r="G207" s="123"/>
      <c r="H207" s="211"/>
      <c r="I207" s="123"/>
      <c r="J207" s="123"/>
      <c r="K207" s="46"/>
      <c r="L207" s="46"/>
      <c r="M207" s="46"/>
      <c r="N207" s="46"/>
      <c r="O207" s="46"/>
      <c r="P207" s="212"/>
      <c r="Q207" s="212"/>
      <c r="R207" s="213"/>
      <c r="S207" s="212"/>
      <c r="T207" s="212"/>
      <c r="U207" s="212"/>
      <c r="V207" s="214"/>
      <c r="W207" s="214"/>
      <c r="X207" s="212"/>
      <c r="Y207" s="212"/>
      <c r="Z207" s="212"/>
      <c r="AA207" s="108"/>
      <c r="AB207" s="215"/>
    </row>
    <row r="208" spans="1:28" s="4" customFormat="1" x14ac:dyDescent="0.2">
      <c r="A208" s="209"/>
      <c r="B208" s="209"/>
      <c r="C208" s="209"/>
      <c r="D208" s="210"/>
      <c r="E208" s="209"/>
      <c r="F208" s="210"/>
      <c r="G208" s="123"/>
      <c r="H208" s="211"/>
      <c r="I208" s="123"/>
      <c r="J208" s="123"/>
      <c r="K208" s="46"/>
      <c r="L208" s="46"/>
      <c r="M208" s="46"/>
      <c r="N208" s="46"/>
      <c r="O208" s="46"/>
      <c r="P208" s="212"/>
      <c r="Q208" s="212"/>
      <c r="R208" s="213"/>
      <c r="S208" s="212"/>
      <c r="T208" s="212"/>
      <c r="U208" s="212"/>
      <c r="V208" s="214"/>
      <c r="W208" s="214"/>
      <c r="X208" s="212"/>
      <c r="Y208" s="212"/>
      <c r="Z208" s="212"/>
      <c r="AA208" s="108"/>
      <c r="AB208" s="215"/>
    </row>
    <row r="209" spans="1:28" s="4" customFormat="1" x14ac:dyDescent="0.2">
      <c r="A209" s="209"/>
      <c r="B209" s="209"/>
      <c r="C209" s="209"/>
      <c r="D209" s="210"/>
      <c r="E209" s="209"/>
      <c r="F209" s="210"/>
      <c r="G209" s="123"/>
      <c r="H209" s="211"/>
      <c r="I209" s="123"/>
      <c r="J209" s="123"/>
      <c r="K209" s="46"/>
      <c r="L209" s="46"/>
      <c r="M209" s="46"/>
      <c r="N209" s="46"/>
      <c r="O209" s="46"/>
      <c r="P209" s="212"/>
      <c r="Q209" s="212"/>
      <c r="R209" s="213"/>
      <c r="S209" s="212"/>
      <c r="T209" s="212"/>
      <c r="U209" s="212"/>
      <c r="V209" s="214"/>
      <c r="W209" s="214"/>
      <c r="X209" s="212"/>
      <c r="Y209" s="212"/>
      <c r="Z209" s="212"/>
      <c r="AA209" s="108"/>
      <c r="AB209" s="215"/>
    </row>
    <row r="210" spans="1:28" s="4" customFormat="1" x14ac:dyDescent="0.2">
      <c r="A210" s="209"/>
      <c r="B210" s="209"/>
      <c r="C210" s="209"/>
      <c r="D210" s="210"/>
      <c r="E210" s="209"/>
      <c r="F210" s="210"/>
      <c r="G210" s="123"/>
      <c r="H210" s="211"/>
      <c r="I210" s="123"/>
      <c r="J210" s="123"/>
      <c r="K210" s="46"/>
      <c r="L210" s="46"/>
      <c r="M210" s="46"/>
      <c r="N210" s="46"/>
      <c r="O210" s="46"/>
      <c r="P210" s="212"/>
      <c r="Q210" s="212"/>
      <c r="R210" s="213"/>
      <c r="S210" s="212"/>
      <c r="T210" s="212"/>
      <c r="U210" s="212"/>
      <c r="V210" s="214"/>
      <c r="W210" s="214"/>
      <c r="X210" s="212"/>
      <c r="Y210" s="212"/>
      <c r="Z210" s="212"/>
      <c r="AA210" s="108"/>
      <c r="AB210" s="215"/>
    </row>
    <row r="211" spans="1:28" s="4" customFormat="1" x14ac:dyDescent="0.2">
      <c r="A211" s="209"/>
      <c r="B211" s="209"/>
      <c r="C211" s="209"/>
      <c r="D211" s="210"/>
      <c r="E211" s="209"/>
      <c r="F211" s="210"/>
      <c r="G211" s="123"/>
      <c r="H211" s="211"/>
      <c r="I211" s="123"/>
      <c r="J211" s="123"/>
      <c r="K211" s="46"/>
      <c r="L211" s="46"/>
      <c r="M211" s="46"/>
      <c r="N211" s="46"/>
      <c r="O211" s="46"/>
      <c r="P211" s="212"/>
      <c r="Q211" s="212"/>
      <c r="R211" s="213"/>
      <c r="S211" s="212"/>
      <c r="T211" s="212"/>
      <c r="U211" s="212"/>
      <c r="V211" s="214"/>
      <c r="W211" s="214"/>
      <c r="X211" s="212"/>
      <c r="Y211" s="212"/>
      <c r="Z211" s="212"/>
      <c r="AA211" s="108"/>
      <c r="AB211" s="215"/>
    </row>
    <row r="212" spans="1:28" s="4" customFormat="1" x14ac:dyDescent="0.2">
      <c r="A212" s="209"/>
      <c r="B212" s="209"/>
      <c r="C212" s="209"/>
      <c r="D212" s="210"/>
      <c r="E212" s="209"/>
      <c r="F212" s="210"/>
      <c r="G212" s="123"/>
      <c r="H212" s="211"/>
      <c r="I212" s="123"/>
      <c r="J212" s="123"/>
      <c r="K212" s="46"/>
      <c r="L212" s="46"/>
      <c r="M212" s="46"/>
      <c r="N212" s="46"/>
      <c r="O212" s="46"/>
      <c r="P212" s="212"/>
      <c r="Q212" s="212"/>
      <c r="R212" s="213"/>
      <c r="S212" s="212"/>
      <c r="T212" s="212"/>
      <c r="U212" s="212"/>
      <c r="V212" s="214"/>
      <c r="W212" s="214"/>
      <c r="X212" s="212"/>
      <c r="Y212" s="212"/>
      <c r="Z212" s="212"/>
      <c r="AA212" s="108"/>
      <c r="AB212" s="215"/>
    </row>
    <row r="213" spans="1:28" s="4" customFormat="1" x14ac:dyDescent="0.2">
      <c r="A213" s="209"/>
      <c r="B213" s="209"/>
      <c r="C213" s="209"/>
      <c r="D213" s="210"/>
      <c r="E213" s="209"/>
      <c r="F213" s="210"/>
      <c r="G213" s="123"/>
      <c r="H213" s="211"/>
      <c r="I213" s="123"/>
      <c r="J213" s="123"/>
      <c r="K213" s="46"/>
      <c r="L213" s="46"/>
      <c r="M213" s="46"/>
      <c r="N213" s="46"/>
      <c r="O213" s="46"/>
      <c r="P213" s="212"/>
      <c r="Q213" s="212"/>
      <c r="R213" s="213"/>
      <c r="S213" s="212"/>
      <c r="T213" s="212"/>
      <c r="U213" s="212"/>
      <c r="V213" s="214"/>
      <c r="W213" s="214"/>
      <c r="X213" s="212"/>
      <c r="Y213" s="212"/>
      <c r="Z213" s="212"/>
      <c r="AA213" s="108"/>
      <c r="AB213" s="215"/>
    </row>
    <row r="214" spans="1:28" s="4" customFormat="1" x14ac:dyDescent="0.2">
      <c r="A214" s="209"/>
      <c r="B214" s="209"/>
      <c r="C214" s="209"/>
      <c r="D214" s="210"/>
      <c r="E214" s="209"/>
      <c r="F214" s="210"/>
      <c r="G214" s="123"/>
      <c r="H214" s="211"/>
      <c r="I214" s="123"/>
      <c r="J214" s="123"/>
      <c r="K214" s="46"/>
      <c r="L214" s="46"/>
      <c r="M214" s="46"/>
      <c r="N214" s="46"/>
      <c r="O214" s="46"/>
      <c r="P214" s="212"/>
      <c r="Q214" s="212"/>
      <c r="R214" s="213"/>
      <c r="S214" s="212"/>
      <c r="T214" s="212"/>
      <c r="U214" s="212"/>
      <c r="V214" s="214"/>
      <c r="W214" s="214"/>
      <c r="X214" s="212"/>
      <c r="Y214" s="212"/>
      <c r="Z214" s="212"/>
      <c r="AA214" s="108"/>
      <c r="AB214" s="215"/>
    </row>
    <row r="215" spans="1:28" s="4" customFormat="1" x14ac:dyDescent="0.2">
      <c r="A215" s="209"/>
      <c r="B215" s="209"/>
      <c r="C215" s="209"/>
      <c r="D215" s="210"/>
      <c r="E215" s="209"/>
      <c r="F215" s="210"/>
      <c r="G215" s="123"/>
      <c r="H215" s="211"/>
      <c r="I215" s="123"/>
      <c r="J215" s="123"/>
      <c r="K215" s="46"/>
      <c r="L215" s="46"/>
      <c r="M215" s="46"/>
      <c r="N215" s="46"/>
      <c r="O215" s="46"/>
      <c r="P215" s="212"/>
      <c r="Q215" s="212"/>
      <c r="R215" s="213"/>
      <c r="S215" s="212"/>
      <c r="T215" s="212"/>
      <c r="U215" s="212"/>
      <c r="V215" s="214"/>
      <c r="W215" s="214"/>
      <c r="X215" s="212"/>
      <c r="Y215" s="212"/>
      <c r="Z215" s="212"/>
      <c r="AA215" s="108"/>
      <c r="AB215" s="215"/>
    </row>
    <row r="216" spans="1:28" s="4" customFormat="1" x14ac:dyDescent="0.2">
      <c r="A216" s="209"/>
      <c r="B216" s="209"/>
      <c r="C216" s="209"/>
      <c r="D216" s="210"/>
      <c r="E216" s="209"/>
      <c r="F216" s="210"/>
      <c r="G216" s="123"/>
      <c r="H216" s="211"/>
      <c r="I216" s="123"/>
      <c r="J216" s="123"/>
      <c r="K216" s="46"/>
      <c r="L216" s="46"/>
      <c r="M216" s="46"/>
      <c r="N216" s="46"/>
      <c r="O216" s="46"/>
      <c r="P216" s="212"/>
      <c r="Q216" s="212"/>
      <c r="R216" s="213"/>
      <c r="S216" s="212"/>
      <c r="T216" s="212"/>
      <c r="U216" s="212"/>
      <c r="V216" s="214"/>
      <c r="W216" s="214"/>
      <c r="X216" s="212"/>
      <c r="Y216" s="212"/>
      <c r="Z216" s="212"/>
      <c r="AA216" s="108"/>
      <c r="AB216" s="215"/>
    </row>
    <row r="217" spans="1:28" s="4" customFormat="1" x14ac:dyDescent="0.2">
      <c r="A217" s="209"/>
      <c r="B217" s="209"/>
      <c r="C217" s="209"/>
      <c r="D217" s="210"/>
      <c r="E217" s="209"/>
      <c r="F217" s="210"/>
      <c r="G217" s="123"/>
      <c r="H217" s="211"/>
      <c r="I217" s="123"/>
      <c r="J217" s="123"/>
      <c r="K217" s="46"/>
      <c r="L217" s="46"/>
      <c r="M217" s="46"/>
      <c r="N217" s="46"/>
      <c r="O217" s="46"/>
      <c r="P217" s="212"/>
      <c r="Q217" s="212"/>
      <c r="R217" s="213"/>
      <c r="S217" s="212"/>
      <c r="T217" s="212"/>
      <c r="U217" s="212"/>
      <c r="V217" s="214"/>
      <c r="W217" s="214"/>
      <c r="X217" s="212"/>
      <c r="Y217" s="212"/>
      <c r="Z217" s="212"/>
      <c r="AA217" s="108"/>
      <c r="AB217" s="215"/>
    </row>
    <row r="218" spans="1:28" s="4" customFormat="1" x14ac:dyDescent="0.2">
      <c r="A218" s="209"/>
      <c r="B218" s="209"/>
      <c r="C218" s="209"/>
      <c r="D218" s="210"/>
      <c r="E218" s="209"/>
      <c r="F218" s="210"/>
      <c r="G218" s="123"/>
      <c r="H218" s="211"/>
      <c r="I218" s="123"/>
      <c r="J218" s="123"/>
      <c r="K218" s="46"/>
      <c r="L218" s="46"/>
      <c r="M218" s="46"/>
      <c r="N218" s="46"/>
      <c r="O218" s="46"/>
      <c r="P218" s="212"/>
      <c r="Q218" s="212"/>
      <c r="R218" s="213"/>
      <c r="S218" s="212"/>
      <c r="T218" s="212"/>
      <c r="U218" s="212"/>
      <c r="V218" s="214"/>
      <c r="W218" s="214"/>
      <c r="X218" s="212"/>
      <c r="Y218" s="212"/>
      <c r="Z218" s="212"/>
      <c r="AA218" s="108"/>
      <c r="AB218" s="215"/>
    </row>
    <row r="219" spans="1:28" s="4" customFormat="1" x14ac:dyDescent="0.2">
      <c r="A219" s="209"/>
      <c r="B219" s="209"/>
      <c r="C219" s="209"/>
      <c r="D219" s="210"/>
      <c r="E219" s="209"/>
      <c r="F219" s="210"/>
      <c r="G219" s="123"/>
      <c r="H219" s="211"/>
      <c r="I219" s="123"/>
      <c r="J219" s="123"/>
      <c r="K219" s="46"/>
      <c r="L219" s="46"/>
      <c r="M219" s="46"/>
      <c r="N219" s="46"/>
      <c r="O219" s="46"/>
      <c r="P219" s="212"/>
      <c r="Q219" s="212"/>
      <c r="R219" s="213"/>
      <c r="S219" s="212"/>
      <c r="T219" s="212"/>
      <c r="U219" s="212"/>
      <c r="V219" s="214"/>
      <c r="W219" s="214"/>
      <c r="X219" s="212"/>
      <c r="Y219" s="212"/>
      <c r="Z219" s="212"/>
      <c r="AA219" s="108"/>
      <c r="AB219" s="215"/>
    </row>
    <row r="220" spans="1:28" s="4" customFormat="1" x14ac:dyDescent="0.2">
      <c r="A220" s="209"/>
      <c r="B220" s="209"/>
      <c r="C220" s="209"/>
      <c r="D220" s="210"/>
      <c r="E220" s="209"/>
      <c r="F220" s="210"/>
      <c r="G220" s="123"/>
      <c r="H220" s="211"/>
      <c r="I220" s="123"/>
      <c r="J220" s="123"/>
      <c r="K220" s="46"/>
      <c r="L220" s="46"/>
      <c r="M220" s="46"/>
      <c r="N220" s="46"/>
      <c r="O220" s="46"/>
      <c r="P220" s="212"/>
      <c r="Q220" s="212"/>
      <c r="R220" s="213"/>
      <c r="S220" s="212"/>
      <c r="T220" s="212"/>
      <c r="U220" s="212"/>
      <c r="V220" s="214"/>
      <c r="W220" s="214"/>
      <c r="X220" s="212"/>
      <c r="Y220" s="212"/>
      <c r="Z220" s="212"/>
      <c r="AA220" s="108"/>
      <c r="AB220" s="215"/>
    </row>
    <row r="221" spans="1:28" s="4" customFormat="1" x14ac:dyDescent="0.2">
      <c r="A221" s="209"/>
      <c r="B221" s="209"/>
      <c r="C221" s="209"/>
      <c r="D221" s="210"/>
      <c r="E221" s="209"/>
      <c r="F221" s="210"/>
      <c r="G221" s="123"/>
      <c r="H221" s="211"/>
      <c r="I221" s="123"/>
      <c r="J221" s="123"/>
      <c r="K221" s="46"/>
      <c r="L221" s="46"/>
      <c r="M221" s="46"/>
      <c r="N221" s="46"/>
      <c r="O221" s="46"/>
      <c r="P221" s="212"/>
      <c r="Q221" s="212"/>
      <c r="R221" s="213"/>
      <c r="S221" s="212"/>
      <c r="T221" s="212"/>
      <c r="U221" s="212"/>
      <c r="V221" s="214"/>
      <c r="W221" s="214"/>
      <c r="X221" s="212"/>
      <c r="Y221" s="212"/>
      <c r="Z221" s="212"/>
      <c r="AA221" s="108"/>
      <c r="AB221" s="215"/>
    </row>
    <row r="222" spans="1:28" s="4" customFormat="1" x14ac:dyDescent="0.2">
      <c r="A222" s="209"/>
      <c r="B222" s="209"/>
      <c r="C222" s="209"/>
      <c r="D222" s="210"/>
      <c r="E222" s="209"/>
      <c r="F222" s="210"/>
      <c r="G222" s="123"/>
      <c r="H222" s="211"/>
      <c r="I222" s="123"/>
      <c r="J222" s="123"/>
      <c r="K222" s="46"/>
      <c r="L222" s="46"/>
      <c r="M222" s="46"/>
      <c r="N222" s="46"/>
      <c r="O222" s="46"/>
      <c r="P222" s="212"/>
      <c r="Q222" s="212"/>
      <c r="R222" s="213"/>
      <c r="S222" s="212"/>
      <c r="T222" s="212"/>
      <c r="U222" s="212"/>
      <c r="V222" s="214"/>
      <c r="W222" s="214"/>
      <c r="X222" s="212"/>
      <c r="Y222" s="212"/>
      <c r="Z222" s="212"/>
      <c r="AA222" s="108"/>
      <c r="AB222" s="215"/>
    </row>
    <row r="223" spans="1:28" s="4" customFormat="1" x14ac:dyDescent="0.2">
      <c r="A223" s="209"/>
      <c r="B223" s="209"/>
      <c r="C223" s="209"/>
      <c r="D223" s="210"/>
      <c r="E223" s="209"/>
      <c r="F223" s="210"/>
      <c r="G223" s="123"/>
      <c r="H223" s="211"/>
      <c r="I223" s="123"/>
      <c r="J223" s="123"/>
      <c r="K223" s="46"/>
      <c r="L223" s="46"/>
      <c r="M223" s="46"/>
      <c r="N223" s="46"/>
      <c r="O223" s="46"/>
      <c r="P223" s="212"/>
      <c r="Q223" s="212"/>
      <c r="R223" s="213"/>
      <c r="S223" s="212"/>
      <c r="T223" s="212"/>
      <c r="U223" s="212"/>
      <c r="V223" s="214"/>
      <c r="W223" s="214"/>
      <c r="X223" s="212"/>
      <c r="Y223" s="212"/>
      <c r="Z223" s="212"/>
      <c r="AA223" s="108"/>
      <c r="AB223" s="215"/>
    </row>
    <row r="224" spans="1:28" s="4" customFormat="1" x14ac:dyDescent="0.2">
      <c r="A224" s="209"/>
      <c r="B224" s="209"/>
      <c r="C224" s="209"/>
      <c r="D224" s="210"/>
      <c r="E224" s="209"/>
      <c r="F224" s="210"/>
      <c r="G224" s="123"/>
      <c r="H224" s="211"/>
      <c r="I224" s="123"/>
      <c r="J224" s="123"/>
      <c r="K224" s="46"/>
      <c r="L224" s="46"/>
      <c r="M224" s="46"/>
      <c r="N224" s="46"/>
      <c r="O224" s="46"/>
      <c r="P224" s="212"/>
      <c r="Q224" s="212"/>
      <c r="R224" s="213"/>
      <c r="S224" s="212"/>
      <c r="T224" s="212"/>
      <c r="U224" s="212"/>
      <c r="V224" s="214"/>
      <c r="W224" s="214"/>
      <c r="X224" s="212"/>
      <c r="Y224" s="212"/>
      <c r="Z224" s="212"/>
      <c r="AA224" s="108"/>
      <c r="AB224" s="215"/>
    </row>
    <row r="225" spans="1:28" s="4" customFormat="1" x14ac:dyDescent="0.2">
      <c r="A225" s="209"/>
      <c r="B225" s="209"/>
      <c r="C225" s="209"/>
      <c r="D225" s="210"/>
      <c r="E225" s="209"/>
      <c r="F225" s="210"/>
      <c r="G225" s="123"/>
      <c r="H225" s="211"/>
      <c r="I225" s="123"/>
      <c r="J225" s="123"/>
      <c r="K225" s="46"/>
      <c r="L225" s="46"/>
      <c r="M225" s="46"/>
      <c r="N225" s="46"/>
      <c r="O225" s="46"/>
      <c r="P225" s="212"/>
      <c r="Q225" s="212"/>
      <c r="R225" s="213"/>
      <c r="S225" s="212"/>
      <c r="T225" s="212"/>
      <c r="U225" s="212"/>
      <c r="V225" s="214"/>
      <c r="W225" s="214"/>
      <c r="X225" s="212"/>
      <c r="Y225" s="212"/>
      <c r="Z225" s="212"/>
      <c r="AA225" s="108"/>
      <c r="AB225" s="215"/>
    </row>
    <row r="226" spans="1:28" s="4" customFormat="1" x14ac:dyDescent="0.2">
      <c r="A226" s="209"/>
      <c r="B226" s="209"/>
      <c r="C226" s="209"/>
      <c r="D226" s="210"/>
      <c r="E226" s="209"/>
      <c r="F226" s="210"/>
      <c r="G226" s="123"/>
      <c r="H226" s="211"/>
      <c r="I226" s="123"/>
      <c r="J226" s="123"/>
      <c r="K226" s="46"/>
      <c r="L226" s="46"/>
      <c r="M226" s="46"/>
      <c r="N226" s="46"/>
      <c r="O226" s="46"/>
      <c r="P226" s="212"/>
      <c r="Q226" s="212"/>
      <c r="R226" s="213"/>
      <c r="S226" s="212"/>
      <c r="T226" s="212"/>
      <c r="U226" s="212"/>
      <c r="V226" s="214"/>
      <c r="W226" s="214"/>
      <c r="X226" s="212"/>
      <c r="Y226" s="212"/>
      <c r="Z226" s="212"/>
      <c r="AA226" s="108"/>
      <c r="AB226" s="215"/>
    </row>
    <row r="227" spans="1:28" s="4" customFormat="1" x14ac:dyDescent="0.2">
      <c r="A227" s="209"/>
      <c r="B227" s="209"/>
      <c r="C227" s="209"/>
      <c r="D227" s="210"/>
      <c r="E227" s="209"/>
      <c r="F227" s="210"/>
      <c r="G227" s="123"/>
      <c r="H227" s="211"/>
      <c r="I227" s="123"/>
      <c r="J227" s="123"/>
      <c r="K227" s="46"/>
      <c r="L227" s="46"/>
      <c r="M227" s="46"/>
      <c r="N227" s="46"/>
      <c r="O227" s="46"/>
      <c r="P227" s="212"/>
      <c r="Q227" s="212"/>
      <c r="R227" s="213"/>
      <c r="S227" s="212"/>
      <c r="T227" s="212"/>
      <c r="U227" s="212"/>
      <c r="V227" s="214"/>
      <c r="W227" s="214"/>
      <c r="X227" s="212"/>
      <c r="Y227" s="212"/>
      <c r="Z227" s="212"/>
      <c r="AA227" s="108"/>
      <c r="AB227" s="215"/>
    </row>
    <row r="228" spans="1:28" s="4" customFormat="1" x14ac:dyDescent="0.2">
      <c r="A228" s="209"/>
      <c r="B228" s="209"/>
      <c r="C228" s="209"/>
      <c r="D228" s="210"/>
      <c r="E228" s="209"/>
      <c r="F228" s="210"/>
      <c r="G228" s="123"/>
      <c r="H228" s="211"/>
      <c r="I228" s="123"/>
      <c r="J228" s="123"/>
      <c r="K228" s="46"/>
      <c r="L228" s="46"/>
      <c r="M228" s="46"/>
      <c r="N228" s="46"/>
      <c r="O228" s="46"/>
      <c r="P228" s="212"/>
      <c r="Q228" s="212"/>
      <c r="R228" s="213"/>
      <c r="S228" s="212"/>
      <c r="T228" s="212"/>
      <c r="U228" s="212"/>
      <c r="V228" s="214"/>
      <c r="W228" s="214"/>
      <c r="X228" s="212"/>
      <c r="Y228" s="212"/>
      <c r="Z228" s="212"/>
      <c r="AA228" s="108"/>
      <c r="AB228" s="215"/>
    </row>
    <row r="229" spans="1:28" s="4" customFormat="1" x14ac:dyDescent="0.2">
      <c r="A229" s="209"/>
      <c r="B229" s="209"/>
      <c r="C229" s="209"/>
      <c r="D229" s="210"/>
      <c r="E229" s="209"/>
      <c r="F229" s="210"/>
      <c r="G229" s="123"/>
      <c r="H229" s="211"/>
      <c r="I229" s="123"/>
      <c r="J229" s="123"/>
      <c r="K229" s="46"/>
      <c r="L229" s="46"/>
      <c r="M229" s="46"/>
      <c r="N229" s="46"/>
      <c r="O229" s="46"/>
      <c r="P229" s="212"/>
      <c r="Q229" s="212"/>
      <c r="R229" s="213"/>
      <c r="S229" s="212"/>
      <c r="T229" s="212"/>
      <c r="U229" s="212"/>
      <c r="V229" s="214"/>
      <c r="W229" s="214"/>
      <c r="X229" s="212"/>
      <c r="Y229" s="212"/>
      <c r="Z229" s="212"/>
      <c r="AA229" s="108"/>
      <c r="AB229" s="215"/>
    </row>
    <row r="230" spans="1:28" s="4" customFormat="1" x14ac:dyDescent="0.2">
      <c r="A230" s="209"/>
      <c r="B230" s="209"/>
      <c r="C230" s="209"/>
      <c r="D230" s="210"/>
      <c r="E230" s="209"/>
      <c r="F230" s="210"/>
      <c r="G230" s="123"/>
      <c r="H230" s="211"/>
      <c r="I230" s="123"/>
      <c r="J230" s="123"/>
      <c r="K230" s="46"/>
      <c r="L230" s="46"/>
      <c r="M230" s="46"/>
      <c r="N230" s="46"/>
      <c r="O230" s="46"/>
      <c r="P230" s="212"/>
      <c r="Q230" s="212"/>
      <c r="R230" s="213"/>
      <c r="S230" s="212"/>
      <c r="T230" s="212"/>
      <c r="U230" s="212"/>
      <c r="V230" s="214"/>
      <c r="W230" s="214"/>
      <c r="X230" s="212"/>
      <c r="Y230" s="212"/>
      <c r="Z230" s="212"/>
      <c r="AA230" s="108"/>
      <c r="AB230" s="215"/>
    </row>
    <row r="231" spans="1:28" s="4" customFormat="1" x14ac:dyDescent="0.2">
      <c r="A231" s="209"/>
      <c r="B231" s="209"/>
      <c r="C231" s="209"/>
      <c r="D231" s="210"/>
      <c r="E231" s="209"/>
      <c r="F231" s="210"/>
      <c r="G231" s="123"/>
      <c r="H231" s="211"/>
      <c r="I231" s="123"/>
      <c r="J231" s="123"/>
      <c r="K231" s="46"/>
      <c r="L231" s="46"/>
      <c r="M231" s="46"/>
      <c r="N231" s="46"/>
      <c r="O231" s="46"/>
      <c r="P231" s="212"/>
      <c r="Q231" s="212"/>
      <c r="R231" s="213"/>
      <c r="S231" s="212"/>
      <c r="T231" s="212"/>
      <c r="U231" s="212"/>
      <c r="V231" s="214"/>
      <c r="W231" s="214"/>
      <c r="X231" s="212"/>
      <c r="Y231" s="212"/>
      <c r="Z231" s="212"/>
      <c r="AA231" s="108"/>
      <c r="AB231" s="215"/>
    </row>
    <row r="232" spans="1:28" s="4" customFormat="1" x14ac:dyDescent="0.2">
      <c r="A232" s="209"/>
      <c r="B232" s="209"/>
      <c r="C232" s="209"/>
      <c r="D232" s="210"/>
      <c r="E232" s="209"/>
      <c r="F232" s="210"/>
      <c r="G232" s="123"/>
      <c r="H232" s="211"/>
      <c r="I232" s="123"/>
      <c r="J232" s="123"/>
      <c r="K232" s="46"/>
      <c r="L232" s="46"/>
      <c r="M232" s="46"/>
      <c r="N232" s="46"/>
      <c r="O232" s="46"/>
      <c r="P232" s="212"/>
      <c r="Q232" s="212"/>
      <c r="R232" s="213"/>
      <c r="S232" s="212"/>
      <c r="T232" s="212"/>
      <c r="U232" s="212"/>
      <c r="V232" s="214"/>
      <c r="W232" s="214"/>
      <c r="X232" s="212"/>
      <c r="Y232" s="212"/>
      <c r="Z232" s="212"/>
      <c r="AA232" s="108"/>
      <c r="AB232" s="215"/>
    </row>
    <row r="233" spans="1:28" s="4" customFormat="1" x14ac:dyDescent="0.2">
      <c r="A233" s="209"/>
      <c r="B233" s="209"/>
      <c r="C233" s="209"/>
      <c r="D233" s="210"/>
      <c r="E233" s="209"/>
      <c r="F233" s="210"/>
      <c r="G233" s="123"/>
      <c r="H233" s="211"/>
      <c r="I233" s="123"/>
      <c r="J233" s="123"/>
      <c r="K233" s="46"/>
      <c r="L233" s="46"/>
      <c r="M233" s="46"/>
      <c r="N233" s="46"/>
      <c r="O233" s="46"/>
      <c r="P233" s="212"/>
      <c r="Q233" s="212"/>
      <c r="R233" s="213"/>
      <c r="S233" s="212"/>
      <c r="T233" s="212"/>
      <c r="U233" s="212"/>
      <c r="V233" s="214"/>
      <c r="W233" s="214"/>
      <c r="X233" s="212"/>
      <c r="Y233" s="212"/>
      <c r="Z233" s="212"/>
      <c r="AA233" s="108"/>
      <c r="AB233" s="215"/>
    </row>
    <row r="234" spans="1:28" s="4" customFormat="1" x14ac:dyDescent="0.2">
      <c r="A234" s="209"/>
      <c r="B234" s="209"/>
      <c r="C234" s="209"/>
      <c r="D234" s="210"/>
      <c r="E234" s="209"/>
      <c r="F234" s="210"/>
      <c r="G234" s="123"/>
      <c r="H234" s="211"/>
      <c r="I234" s="123"/>
      <c r="J234" s="123"/>
      <c r="K234" s="46"/>
      <c r="L234" s="46"/>
      <c r="M234" s="46"/>
      <c r="N234" s="46"/>
      <c r="O234" s="46"/>
      <c r="P234" s="212"/>
      <c r="Q234" s="212"/>
      <c r="R234" s="213"/>
      <c r="S234" s="212"/>
      <c r="T234" s="212"/>
      <c r="U234" s="212"/>
      <c r="V234" s="214"/>
      <c r="W234" s="214"/>
      <c r="X234" s="212"/>
      <c r="Y234" s="212"/>
      <c r="Z234" s="212"/>
      <c r="AA234" s="108"/>
      <c r="AB234" s="215"/>
    </row>
    <row r="235" spans="1:28" s="4" customFormat="1" x14ac:dyDescent="0.2">
      <c r="A235" s="209"/>
      <c r="B235" s="209"/>
      <c r="C235" s="209"/>
      <c r="D235" s="210"/>
      <c r="E235" s="209"/>
      <c r="F235" s="210"/>
      <c r="G235" s="123"/>
      <c r="H235" s="211"/>
      <c r="I235" s="123"/>
      <c r="J235" s="123"/>
      <c r="K235" s="46"/>
      <c r="L235" s="46"/>
      <c r="M235" s="46"/>
      <c r="N235" s="46"/>
      <c r="O235" s="46"/>
      <c r="P235" s="212"/>
      <c r="Q235" s="212"/>
      <c r="R235" s="213"/>
      <c r="S235" s="212"/>
      <c r="T235" s="212"/>
      <c r="U235" s="212"/>
      <c r="V235" s="214"/>
      <c r="W235" s="214"/>
      <c r="X235" s="212"/>
      <c r="Y235" s="212"/>
      <c r="Z235" s="212"/>
      <c r="AA235" s="108"/>
      <c r="AB235" s="215"/>
    </row>
    <row r="236" spans="1:28" s="4" customFormat="1" x14ac:dyDescent="0.2">
      <c r="A236" s="209"/>
      <c r="B236" s="209"/>
      <c r="C236" s="209"/>
      <c r="D236" s="210"/>
      <c r="E236" s="209"/>
      <c r="F236" s="210"/>
      <c r="G236" s="123"/>
      <c r="H236" s="211"/>
      <c r="I236" s="123"/>
      <c r="J236" s="123"/>
      <c r="K236" s="46"/>
      <c r="L236" s="46"/>
      <c r="M236" s="46"/>
      <c r="N236" s="46"/>
      <c r="O236" s="46"/>
      <c r="P236" s="212"/>
      <c r="Q236" s="212"/>
      <c r="R236" s="213"/>
      <c r="S236" s="212"/>
      <c r="T236" s="212"/>
      <c r="U236" s="212"/>
      <c r="V236" s="214"/>
      <c r="W236" s="214"/>
      <c r="X236" s="212"/>
      <c r="Y236" s="212"/>
      <c r="Z236" s="212"/>
      <c r="AA236" s="108"/>
      <c r="AB236" s="215"/>
    </row>
    <row r="237" spans="1:28" s="4" customFormat="1" x14ac:dyDescent="0.2">
      <c r="A237" s="209"/>
      <c r="B237" s="209"/>
      <c r="C237" s="209"/>
      <c r="D237" s="210"/>
      <c r="E237" s="209"/>
      <c r="F237" s="210"/>
      <c r="G237" s="123"/>
      <c r="H237" s="211"/>
      <c r="I237" s="123"/>
      <c r="J237" s="123"/>
      <c r="K237" s="46"/>
      <c r="L237" s="46"/>
      <c r="M237" s="46"/>
      <c r="N237" s="46"/>
      <c r="O237" s="46"/>
      <c r="P237" s="212"/>
      <c r="Q237" s="212"/>
      <c r="R237" s="213"/>
      <c r="S237" s="212"/>
      <c r="T237" s="212"/>
      <c r="U237" s="212"/>
      <c r="V237" s="214"/>
      <c r="W237" s="214"/>
      <c r="X237" s="212"/>
      <c r="Y237" s="212"/>
      <c r="Z237" s="212"/>
      <c r="AA237" s="108"/>
      <c r="AB237" s="215"/>
    </row>
    <row r="238" spans="1:28" s="4" customFormat="1" x14ac:dyDescent="0.2">
      <c r="A238" s="209"/>
      <c r="B238" s="209"/>
      <c r="C238" s="209"/>
      <c r="D238" s="210"/>
      <c r="E238" s="209"/>
      <c r="F238" s="210"/>
      <c r="G238" s="123"/>
      <c r="H238" s="211"/>
      <c r="I238" s="123"/>
      <c r="J238" s="123"/>
      <c r="K238" s="46"/>
      <c r="L238" s="46"/>
      <c r="M238" s="46"/>
      <c r="N238" s="46"/>
      <c r="O238" s="46"/>
      <c r="P238" s="212"/>
      <c r="Q238" s="212"/>
      <c r="R238" s="213"/>
      <c r="S238" s="212"/>
      <c r="T238" s="212"/>
      <c r="U238" s="212"/>
      <c r="V238" s="214"/>
      <c r="W238" s="214"/>
      <c r="X238" s="212"/>
      <c r="Y238" s="212"/>
      <c r="Z238" s="212"/>
      <c r="AA238" s="108"/>
      <c r="AB238" s="215"/>
    </row>
    <row r="239" spans="1:28" s="4" customFormat="1" x14ac:dyDescent="0.2">
      <c r="A239" s="209"/>
      <c r="B239" s="209"/>
      <c r="C239" s="209"/>
      <c r="D239" s="210"/>
      <c r="E239" s="209"/>
      <c r="F239" s="210"/>
      <c r="G239" s="123"/>
      <c r="H239" s="211"/>
      <c r="I239" s="123"/>
      <c r="J239" s="123"/>
      <c r="K239" s="46"/>
      <c r="L239" s="46"/>
      <c r="M239" s="46"/>
      <c r="N239" s="46"/>
      <c r="O239" s="46"/>
      <c r="P239" s="212"/>
      <c r="Q239" s="212"/>
      <c r="R239" s="213"/>
      <c r="S239" s="212"/>
      <c r="T239" s="212"/>
      <c r="U239" s="212"/>
      <c r="V239" s="214"/>
      <c r="W239" s="214"/>
      <c r="X239" s="212"/>
      <c r="Y239" s="212"/>
      <c r="Z239" s="212"/>
      <c r="AA239" s="108"/>
      <c r="AB239" s="215"/>
    </row>
    <row r="240" spans="1:28" s="4" customFormat="1" x14ac:dyDescent="0.2">
      <c r="A240" s="209"/>
      <c r="B240" s="209"/>
      <c r="C240" s="209"/>
      <c r="D240" s="210"/>
      <c r="E240" s="209"/>
      <c r="F240" s="210"/>
      <c r="G240" s="123"/>
      <c r="H240" s="211"/>
      <c r="I240" s="123"/>
      <c r="J240" s="123"/>
      <c r="K240" s="46"/>
      <c r="L240" s="46"/>
      <c r="M240" s="46"/>
      <c r="N240" s="46"/>
      <c r="O240" s="46"/>
      <c r="P240" s="212"/>
      <c r="Q240" s="212"/>
      <c r="R240" s="213"/>
      <c r="S240" s="212"/>
      <c r="T240" s="212"/>
      <c r="U240" s="212"/>
      <c r="V240" s="214"/>
      <c r="W240" s="214"/>
      <c r="X240" s="212"/>
      <c r="Y240" s="212"/>
      <c r="Z240" s="212"/>
      <c r="AA240" s="108"/>
      <c r="AB240" s="215"/>
    </row>
    <row r="241" spans="1:28" s="4" customFormat="1" x14ac:dyDescent="0.2">
      <c r="A241" s="209"/>
      <c r="B241" s="209"/>
      <c r="C241" s="209"/>
      <c r="D241" s="210"/>
      <c r="E241" s="209"/>
      <c r="F241" s="210"/>
      <c r="G241" s="123"/>
      <c r="H241" s="211"/>
      <c r="I241" s="123"/>
      <c r="J241" s="123"/>
      <c r="K241" s="46"/>
      <c r="L241" s="46"/>
      <c r="M241" s="46"/>
      <c r="N241" s="46"/>
      <c r="O241" s="46"/>
      <c r="P241" s="212"/>
      <c r="Q241" s="212"/>
      <c r="R241" s="213"/>
      <c r="S241" s="212"/>
      <c r="T241" s="212"/>
      <c r="U241" s="212"/>
      <c r="V241" s="214"/>
      <c r="W241" s="214"/>
      <c r="X241" s="212"/>
      <c r="Y241" s="212"/>
      <c r="Z241" s="212"/>
      <c r="AA241" s="108"/>
      <c r="AB241" s="215"/>
    </row>
    <row r="242" spans="1:28" s="4" customFormat="1" x14ac:dyDescent="0.2">
      <c r="A242" s="209"/>
      <c r="B242" s="209"/>
      <c r="C242" s="209"/>
      <c r="D242" s="210"/>
      <c r="E242" s="209"/>
      <c r="F242" s="210"/>
      <c r="G242" s="123"/>
      <c r="H242" s="211"/>
      <c r="I242" s="123"/>
      <c r="J242" s="123"/>
      <c r="K242" s="46"/>
      <c r="L242" s="46"/>
      <c r="M242" s="46"/>
      <c r="N242" s="46"/>
      <c r="O242" s="46"/>
      <c r="P242" s="212"/>
      <c r="Q242" s="212"/>
      <c r="R242" s="213"/>
      <c r="S242" s="212"/>
      <c r="T242" s="212"/>
      <c r="U242" s="212"/>
      <c r="V242" s="214"/>
      <c r="W242" s="214"/>
      <c r="X242" s="212"/>
      <c r="Y242" s="212"/>
      <c r="Z242" s="212"/>
      <c r="AA242" s="108"/>
      <c r="AB242" s="215"/>
    </row>
  </sheetData>
  <autoFilter ref="A5:AD144">
    <filterColumn colId="10" showButton="0"/>
    <filterColumn colId="11" showButton="0"/>
    <filterColumn colId="12" showButton="0"/>
    <filterColumn colId="13" showButton="0"/>
  </autoFilter>
  <mergeCells count="40">
    <mergeCell ref="A133:G133"/>
    <mergeCell ref="S5:S7"/>
    <mergeCell ref="A8:G8"/>
    <mergeCell ref="A64:G64"/>
    <mergeCell ref="E5:E7"/>
    <mergeCell ref="Q5:Q7"/>
    <mergeCell ref="C5:C7"/>
    <mergeCell ref="J5:J7"/>
    <mergeCell ref="H5:H7"/>
    <mergeCell ref="B5:B7"/>
    <mergeCell ref="AA5:AA7"/>
    <mergeCell ref="V6:V7"/>
    <mergeCell ref="W6:W7"/>
    <mergeCell ref="Z5:Z7"/>
    <mergeCell ref="A1:Y1"/>
    <mergeCell ref="A3:Y3"/>
    <mergeCell ref="A5:A7"/>
    <mergeCell ref="F5:F7"/>
    <mergeCell ref="G5:G7"/>
    <mergeCell ref="I5:I7"/>
    <mergeCell ref="R5:R7"/>
    <mergeCell ref="P5:P7"/>
    <mergeCell ref="D5:D7"/>
    <mergeCell ref="A2:Y2"/>
    <mergeCell ref="A137:G137"/>
    <mergeCell ref="AD5:AD7"/>
    <mergeCell ref="AC5:AC7"/>
    <mergeCell ref="A122:G122"/>
    <mergeCell ref="A106:G106"/>
    <mergeCell ref="A78:G78"/>
    <mergeCell ref="K5:O5"/>
    <mergeCell ref="T5:T7"/>
    <mergeCell ref="Y5:Y7"/>
    <mergeCell ref="A72:G72"/>
    <mergeCell ref="A102:G102"/>
    <mergeCell ref="A21:G21"/>
    <mergeCell ref="A128:G128"/>
    <mergeCell ref="AB5:AB7"/>
    <mergeCell ref="U5:U7"/>
    <mergeCell ref="X5:X7"/>
  </mergeCells>
  <phoneticPr fontId="2" type="noConversion"/>
  <printOptions horizontalCentered="1"/>
  <pageMargins left="0.11811023622047245" right="0.11811023622047245" top="0.19685039370078741" bottom="0.15748031496062992" header="0.51181102362204722" footer="0.15748031496062992"/>
  <pageSetup paperSize="9" scale="36" firstPageNumber="7" orientation="landscape" useFirstPageNumber="1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R429"/>
  <sheetViews>
    <sheetView view="pageBreakPreview" zoomScale="84" zoomScaleSheetLayoutView="84" workbookViewId="0">
      <pane ySplit="7" topLeftCell="A53" activePane="bottomLeft" state="frozen"/>
      <selection pane="bottomLeft" activeCell="N369" sqref="N369"/>
    </sheetView>
  </sheetViews>
  <sheetFormatPr defaultRowHeight="15" x14ac:dyDescent="0.2"/>
  <cols>
    <col min="1" max="1" width="4.28515625" bestFit="1" customWidth="1"/>
    <col min="2" max="2" width="32.42578125" style="177" customWidth="1"/>
    <col min="3" max="3" width="41.42578125" style="51" customWidth="1"/>
    <col min="4" max="4" width="9.140625" style="71"/>
    <col min="5" max="5" width="12.5703125" style="148" customWidth="1"/>
    <col min="6" max="6" width="23.7109375" style="137" customWidth="1"/>
    <col min="7" max="7" width="15.42578125" customWidth="1"/>
    <col min="8" max="8" width="25.5703125" style="137" customWidth="1"/>
    <col min="9" max="9" width="10.140625" style="70" customWidth="1"/>
    <col min="10" max="10" width="10.85546875" style="70" customWidth="1"/>
    <col min="11" max="11" width="11.140625" style="70" customWidth="1"/>
    <col min="12" max="12" width="19.42578125" style="223" customWidth="1"/>
    <col min="13" max="13" width="11" style="148" customWidth="1"/>
    <col min="14" max="14" width="12.42578125" style="148" customWidth="1"/>
    <col min="15" max="15" width="25.140625" style="51" customWidth="1"/>
    <col min="16" max="16" width="20.5703125" style="51" customWidth="1"/>
    <col min="17" max="17" width="28.85546875" style="69" bestFit="1" customWidth="1"/>
    <col min="18" max="19" width="9.140625" style="148"/>
  </cols>
  <sheetData>
    <row r="1" spans="1:252" ht="12.75" x14ac:dyDescent="0.2">
      <c r="A1" s="537" t="s">
        <v>1282</v>
      </c>
      <c r="B1" s="537"/>
      <c r="C1" s="537"/>
      <c r="D1" s="537"/>
      <c r="E1" s="537"/>
      <c r="F1" s="537"/>
      <c r="G1" s="537"/>
      <c r="H1" s="537"/>
      <c r="I1" s="537"/>
      <c r="J1" s="537"/>
      <c r="K1" s="537"/>
      <c r="L1" s="537"/>
      <c r="M1" s="537"/>
      <c r="N1" s="537"/>
      <c r="O1" s="537"/>
      <c r="P1" s="537"/>
      <c r="Q1" s="537"/>
      <c r="R1" s="55"/>
      <c r="S1" s="55"/>
      <c r="T1" s="14"/>
      <c r="U1" s="14"/>
      <c r="V1" s="14"/>
      <c r="W1" s="14"/>
      <c r="X1" s="14"/>
    </row>
    <row r="2" spans="1:252" ht="12.75" x14ac:dyDescent="0.2">
      <c r="A2" s="537" t="s">
        <v>2152</v>
      </c>
      <c r="B2" s="537"/>
      <c r="C2" s="537"/>
      <c r="D2" s="537"/>
      <c r="E2" s="537"/>
      <c r="F2" s="537"/>
      <c r="G2" s="537"/>
      <c r="H2" s="537"/>
      <c r="I2" s="537"/>
      <c r="J2" s="537"/>
      <c r="K2" s="537"/>
      <c r="L2" s="537"/>
      <c r="M2" s="537"/>
      <c r="N2" s="537"/>
      <c r="O2" s="537"/>
      <c r="P2" s="537"/>
      <c r="Q2" s="537"/>
      <c r="R2" s="55"/>
      <c r="S2" s="55"/>
      <c r="T2" s="14"/>
      <c r="U2" s="14"/>
      <c r="V2" s="14"/>
      <c r="W2" s="14"/>
      <c r="X2" s="14"/>
    </row>
    <row r="3" spans="1:252" ht="12.75" x14ac:dyDescent="0.2">
      <c r="A3" s="537" t="s">
        <v>930</v>
      </c>
      <c r="B3" s="537"/>
      <c r="C3" s="537"/>
      <c r="D3" s="537"/>
      <c r="E3" s="537"/>
      <c r="F3" s="537"/>
      <c r="G3" s="537"/>
      <c r="H3" s="537"/>
      <c r="I3" s="537"/>
      <c r="J3" s="537"/>
      <c r="K3" s="537"/>
      <c r="L3" s="537"/>
      <c r="M3" s="537"/>
      <c r="N3" s="537"/>
      <c r="O3" s="537"/>
      <c r="P3" s="537"/>
      <c r="Q3" s="537"/>
      <c r="R3" s="55"/>
      <c r="S3" s="55"/>
      <c r="T3" s="14"/>
      <c r="U3" s="14"/>
      <c r="V3" s="14"/>
      <c r="W3" s="14"/>
      <c r="X3" s="14"/>
    </row>
    <row r="4" spans="1:252" ht="9" customHeight="1" thickBot="1" x14ac:dyDescent="0.25"/>
    <row r="5" spans="1:252" ht="13.5" customHeight="1" thickTop="1" x14ac:dyDescent="0.2">
      <c r="A5" s="634" t="s">
        <v>1943</v>
      </c>
      <c r="B5" s="640" t="s">
        <v>1552</v>
      </c>
      <c r="C5" s="641"/>
      <c r="D5" s="647" t="s">
        <v>1008</v>
      </c>
      <c r="E5" s="534" t="s">
        <v>1285</v>
      </c>
      <c r="F5" s="534" t="s">
        <v>1707</v>
      </c>
      <c r="G5" s="530" t="s">
        <v>2074</v>
      </c>
      <c r="H5" s="534" t="s">
        <v>1286</v>
      </c>
      <c r="I5" s="656" t="s">
        <v>1656</v>
      </c>
      <c r="J5" s="657"/>
      <c r="K5" s="658"/>
      <c r="L5" s="650" t="s">
        <v>1288</v>
      </c>
      <c r="M5" s="530" t="s">
        <v>74</v>
      </c>
      <c r="N5" s="647" t="s">
        <v>585</v>
      </c>
      <c r="O5" s="534" t="s">
        <v>586</v>
      </c>
      <c r="P5" s="680" t="s">
        <v>1708</v>
      </c>
      <c r="Q5" s="530" t="s">
        <v>1867</v>
      </c>
      <c r="R5" s="683" t="s">
        <v>759</v>
      </c>
      <c r="S5" s="530" t="s">
        <v>2091</v>
      </c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  <c r="GS5" s="3"/>
      <c r="GT5" s="3"/>
      <c r="GU5" s="3"/>
      <c r="GV5" s="3"/>
      <c r="GW5" s="3"/>
      <c r="GX5" s="3"/>
      <c r="GY5" s="3"/>
      <c r="GZ5" s="3"/>
      <c r="HA5" s="3"/>
      <c r="HB5" s="3"/>
      <c r="HC5" s="3"/>
      <c r="HD5" s="3"/>
      <c r="HE5" s="3"/>
      <c r="HF5" s="3"/>
      <c r="HG5" s="3"/>
      <c r="HH5" s="3"/>
      <c r="HI5" s="3"/>
      <c r="HJ5" s="3"/>
      <c r="HK5" s="3"/>
      <c r="HL5" s="3"/>
      <c r="HM5" s="3"/>
      <c r="HN5" s="3"/>
      <c r="HO5" s="3"/>
      <c r="HP5" s="3"/>
      <c r="HQ5" s="3"/>
      <c r="HR5" s="3"/>
      <c r="HS5" s="3"/>
      <c r="HT5" s="3"/>
      <c r="HU5" s="3"/>
      <c r="HV5" s="3"/>
      <c r="HW5" s="3"/>
      <c r="HX5" s="3"/>
      <c r="HY5" s="3"/>
      <c r="HZ5" s="3"/>
      <c r="IA5" s="3"/>
      <c r="IB5" s="3"/>
      <c r="IC5" s="3"/>
      <c r="ID5" s="3"/>
      <c r="IE5" s="3"/>
      <c r="IF5" s="3"/>
      <c r="IG5" s="3"/>
      <c r="IH5" s="3"/>
      <c r="II5" s="3"/>
      <c r="IJ5" s="3"/>
      <c r="IK5" s="3"/>
      <c r="IL5" s="3"/>
      <c r="IM5" s="3"/>
      <c r="IN5" s="3"/>
      <c r="IO5" s="3"/>
      <c r="IP5" s="3"/>
      <c r="IQ5" s="3"/>
      <c r="IR5" s="3"/>
    </row>
    <row r="6" spans="1:252" ht="12.75" x14ac:dyDescent="0.2">
      <c r="A6" s="635"/>
      <c r="B6" s="642"/>
      <c r="C6" s="643"/>
      <c r="D6" s="648"/>
      <c r="E6" s="535"/>
      <c r="F6" s="544"/>
      <c r="G6" s="653"/>
      <c r="H6" s="535"/>
      <c r="I6" s="73" t="s">
        <v>1654</v>
      </c>
      <c r="J6" s="47" t="s">
        <v>688</v>
      </c>
      <c r="K6" s="218" t="s">
        <v>688</v>
      </c>
      <c r="L6" s="651"/>
      <c r="M6" s="531"/>
      <c r="N6" s="648"/>
      <c r="O6" s="535"/>
      <c r="P6" s="681"/>
      <c r="Q6" s="572"/>
      <c r="R6" s="684"/>
      <c r="S6" s="531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  <c r="GS6" s="3"/>
      <c r="GT6" s="3"/>
      <c r="GU6" s="3"/>
      <c r="GV6" s="3"/>
      <c r="GW6" s="3"/>
      <c r="GX6" s="3"/>
      <c r="GY6" s="3"/>
      <c r="GZ6" s="3"/>
      <c r="HA6" s="3"/>
      <c r="HB6" s="3"/>
      <c r="HC6" s="3"/>
      <c r="HD6" s="3"/>
      <c r="HE6" s="3"/>
      <c r="HF6" s="3"/>
      <c r="HG6" s="3"/>
      <c r="HH6" s="3"/>
      <c r="HI6" s="3"/>
      <c r="HJ6" s="3"/>
      <c r="HK6" s="3"/>
      <c r="HL6" s="3"/>
      <c r="HM6" s="3"/>
      <c r="HN6" s="3"/>
      <c r="HO6" s="3"/>
      <c r="HP6" s="3"/>
      <c r="HQ6" s="3"/>
      <c r="HR6" s="3"/>
      <c r="HS6" s="3"/>
      <c r="HT6" s="3"/>
      <c r="HU6" s="3"/>
      <c r="HV6" s="3"/>
      <c r="HW6" s="3"/>
      <c r="HX6" s="3"/>
      <c r="HY6" s="3"/>
      <c r="HZ6" s="3"/>
      <c r="IA6" s="3"/>
      <c r="IB6" s="3"/>
      <c r="IC6" s="3"/>
      <c r="ID6" s="3"/>
      <c r="IE6" s="3"/>
      <c r="IF6" s="3"/>
      <c r="IG6" s="3"/>
      <c r="IH6" s="3"/>
      <c r="II6" s="3"/>
      <c r="IJ6" s="3"/>
      <c r="IK6" s="3"/>
      <c r="IL6" s="3"/>
      <c r="IM6" s="3"/>
      <c r="IN6" s="3"/>
      <c r="IO6" s="3"/>
      <c r="IP6" s="3"/>
      <c r="IQ6" s="3"/>
      <c r="IR6" s="3"/>
    </row>
    <row r="7" spans="1:252" ht="13.5" thickBot="1" x14ac:dyDescent="0.25">
      <c r="A7" s="636"/>
      <c r="B7" s="644"/>
      <c r="C7" s="645"/>
      <c r="D7" s="648"/>
      <c r="E7" s="536"/>
      <c r="F7" s="655"/>
      <c r="G7" s="654"/>
      <c r="H7" s="536"/>
      <c r="I7" s="74" t="s">
        <v>1655</v>
      </c>
      <c r="J7" s="41" t="s">
        <v>689</v>
      </c>
      <c r="K7" s="219" t="s">
        <v>690</v>
      </c>
      <c r="L7" s="652"/>
      <c r="M7" s="532"/>
      <c r="N7" s="649"/>
      <c r="O7" s="536"/>
      <c r="P7" s="682"/>
      <c r="Q7" s="712"/>
      <c r="R7" s="685"/>
      <c r="S7" s="532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  <c r="GO7" s="3"/>
      <c r="GP7" s="3"/>
      <c r="GQ7" s="3"/>
      <c r="GR7" s="3"/>
      <c r="GS7" s="3"/>
      <c r="GT7" s="3"/>
      <c r="GU7" s="3"/>
      <c r="GV7" s="3"/>
      <c r="GW7" s="3"/>
      <c r="GX7" s="3"/>
      <c r="GY7" s="3"/>
      <c r="GZ7" s="3"/>
      <c r="HA7" s="3"/>
      <c r="HB7" s="3"/>
      <c r="HC7" s="3"/>
      <c r="HD7" s="3"/>
      <c r="HE7" s="3"/>
      <c r="HF7" s="3"/>
      <c r="HG7" s="3"/>
      <c r="HH7" s="3"/>
      <c r="HI7" s="3"/>
      <c r="HJ7" s="3"/>
      <c r="HK7" s="3"/>
      <c r="HL7" s="3"/>
      <c r="HM7" s="3"/>
      <c r="HN7" s="3"/>
      <c r="HO7" s="3"/>
      <c r="HP7" s="3"/>
      <c r="HQ7" s="3"/>
      <c r="HR7" s="3"/>
      <c r="HS7" s="3"/>
      <c r="HT7" s="3"/>
      <c r="HU7" s="3"/>
      <c r="HV7" s="3"/>
      <c r="HW7" s="3"/>
      <c r="HX7" s="3"/>
      <c r="HY7" s="3"/>
      <c r="HZ7" s="3"/>
      <c r="IA7" s="3"/>
      <c r="IB7" s="3"/>
      <c r="IC7" s="3"/>
      <c r="ID7" s="3"/>
      <c r="IE7" s="3"/>
      <c r="IF7" s="3"/>
      <c r="IG7" s="3"/>
      <c r="IH7" s="3"/>
      <c r="II7" s="3"/>
      <c r="IJ7" s="3"/>
      <c r="IK7" s="3"/>
      <c r="IL7" s="3"/>
      <c r="IM7" s="3"/>
      <c r="IN7" s="3"/>
      <c r="IO7" s="3"/>
      <c r="IP7" s="3"/>
      <c r="IQ7" s="3"/>
      <c r="IR7" s="3"/>
    </row>
    <row r="8" spans="1:252" ht="18.75" thickBot="1" x14ac:dyDescent="0.3">
      <c r="A8" s="637" t="s">
        <v>2256</v>
      </c>
      <c r="B8" s="638"/>
      <c r="C8" s="639"/>
      <c r="D8" s="78"/>
      <c r="E8" s="149"/>
      <c r="F8" s="36"/>
      <c r="G8" s="75"/>
      <c r="H8" s="36"/>
      <c r="I8" s="76"/>
      <c r="J8" s="76"/>
      <c r="K8" s="77"/>
      <c r="L8" s="156"/>
      <c r="M8" s="149"/>
      <c r="N8" s="149"/>
      <c r="O8" s="139"/>
      <c r="P8" s="139"/>
      <c r="Q8" s="139"/>
      <c r="R8" s="149"/>
      <c r="S8" s="149"/>
    </row>
    <row r="9" spans="1:252" ht="20.25" customHeight="1" x14ac:dyDescent="0.2">
      <c r="A9" s="646">
        <v>1</v>
      </c>
      <c r="B9" s="613" t="s">
        <v>1907</v>
      </c>
      <c r="C9" s="139" t="s">
        <v>796</v>
      </c>
      <c r="D9" s="78">
        <v>3.1</v>
      </c>
      <c r="E9" s="543" t="s">
        <v>841</v>
      </c>
      <c r="F9" s="552" t="s">
        <v>246</v>
      </c>
      <c r="G9" s="79" t="s">
        <v>840</v>
      </c>
      <c r="H9" s="592" t="s">
        <v>244</v>
      </c>
      <c r="I9" s="589">
        <v>40249</v>
      </c>
      <c r="J9" s="589">
        <v>40267</v>
      </c>
      <c r="K9" s="577">
        <v>40359</v>
      </c>
      <c r="L9" s="588">
        <v>14582.15</v>
      </c>
      <c r="M9" s="588">
        <v>14446.75</v>
      </c>
      <c r="N9" s="543">
        <v>100</v>
      </c>
      <c r="O9" s="615" t="s">
        <v>1271</v>
      </c>
      <c r="P9" s="580" t="s">
        <v>149</v>
      </c>
      <c r="Q9" s="571" t="s">
        <v>1009</v>
      </c>
      <c r="R9" s="543" t="s">
        <v>271</v>
      </c>
      <c r="S9" s="543">
        <v>1</v>
      </c>
    </row>
    <row r="10" spans="1:252" ht="20.25" customHeight="1" x14ac:dyDescent="0.2">
      <c r="A10" s="572"/>
      <c r="B10" s="559" t="s">
        <v>1907</v>
      </c>
      <c r="C10" s="140" t="s">
        <v>797</v>
      </c>
      <c r="D10" s="78">
        <v>5.5</v>
      </c>
      <c r="E10" s="545"/>
      <c r="F10" s="554"/>
      <c r="G10" s="63" t="s">
        <v>2168</v>
      </c>
      <c r="H10" s="593" t="s">
        <v>855</v>
      </c>
      <c r="I10" s="590"/>
      <c r="J10" s="590"/>
      <c r="K10" s="578"/>
      <c r="L10" s="587"/>
      <c r="M10" s="587"/>
      <c r="N10" s="544"/>
      <c r="O10" s="616"/>
      <c r="P10" s="581"/>
      <c r="Q10" s="572"/>
      <c r="R10" s="545" t="s">
        <v>150</v>
      </c>
      <c r="S10" s="544"/>
    </row>
    <row r="11" spans="1:252" x14ac:dyDescent="0.2">
      <c r="A11" s="573"/>
      <c r="B11" s="20"/>
      <c r="C11" s="140"/>
      <c r="D11" s="83">
        <f>SUM(D9:D10)</f>
        <v>8.6</v>
      </c>
      <c r="E11" s="152"/>
      <c r="F11" s="24"/>
      <c r="G11" s="63"/>
      <c r="H11" s="160"/>
      <c r="I11" s="81"/>
      <c r="J11" s="81"/>
      <c r="K11" s="82"/>
      <c r="L11" s="165"/>
      <c r="M11" s="153"/>
      <c r="N11" s="153"/>
      <c r="O11" s="140"/>
      <c r="P11" s="140"/>
      <c r="Q11" s="80"/>
      <c r="R11" s="152"/>
      <c r="S11" s="153"/>
    </row>
    <row r="12" spans="1:252" ht="12.75" customHeight="1" x14ac:dyDescent="0.2">
      <c r="A12" s="571">
        <v>2</v>
      </c>
      <c r="B12" s="558" t="s">
        <v>1897</v>
      </c>
      <c r="C12" s="140" t="s">
        <v>798</v>
      </c>
      <c r="D12" s="84">
        <v>2.8</v>
      </c>
      <c r="E12" s="543" t="s">
        <v>841</v>
      </c>
      <c r="F12" s="552" t="s">
        <v>246</v>
      </c>
      <c r="G12" s="79" t="s">
        <v>856</v>
      </c>
      <c r="H12" s="592" t="s">
        <v>245</v>
      </c>
      <c r="I12" s="589">
        <v>40249</v>
      </c>
      <c r="J12" s="589">
        <v>40276</v>
      </c>
      <c r="K12" s="577">
        <v>40398</v>
      </c>
      <c r="L12" s="588">
        <v>22864.799999999999</v>
      </c>
      <c r="M12" s="588">
        <v>15886.82</v>
      </c>
      <c r="N12" s="543">
        <v>100</v>
      </c>
      <c r="O12" s="565" t="s">
        <v>2244</v>
      </c>
      <c r="P12" s="565"/>
      <c r="Q12" s="571" t="s">
        <v>1273</v>
      </c>
      <c r="R12" s="543" t="str">
        <f>R9</f>
        <v>GOG</v>
      </c>
      <c r="S12" s="543"/>
    </row>
    <row r="13" spans="1:252" ht="12.75" customHeight="1" x14ac:dyDescent="0.2">
      <c r="A13" s="572"/>
      <c r="B13" s="613"/>
      <c r="C13" s="140" t="s">
        <v>799</v>
      </c>
      <c r="D13" s="84">
        <v>4.7</v>
      </c>
      <c r="E13" s="544"/>
      <c r="F13" s="553"/>
      <c r="G13" s="79" t="s">
        <v>2179</v>
      </c>
      <c r="H13" s="593"/>
      <c r="I13" s="590"/>
      <c r="J13" s="590"/>
      <c r="K13" s="578"/>
      <c r="L13" s="586"/>
      <c r="M13" s="586"/>
      <c r="N13" s="544"/>
      <c r="O13" s="614"/>
      <c r="P13" s="614"/>
      <c r="Q13" s="572"/>
      <c r="R13" s="544"/>
      <c r="S13" s="544"/>
    </row>
    <row r="14" spans="1:252" x14ac:dyDescent="0.2">
      <c r="A14" s="572"/>
      <c r="B14" s="613"/>
      <c r="C14" s="140" t="s">
        <v>800</v>
      </c>
      <c r="D14" s="78">
        <v>6.5</v>
      </c>
      <c r="E14" s="544"/>
      <c r="F14" s="553"/>
      <c r="G14" s="63" t="s">
        <v>1272</v>
      </c>
      <c r="H14" s="593"/>
      <c r="I14" s="590"/>
      <c r="J14" s="590"/>
      <c r="K14" s="578"/>
      <c r="L14" s="586"/>
      <c r="M14" s="586"/>
      <c r="N14" s="544"/>
      <c r="O14" s="614"/>
      <c r="P14" s="614"/>
      <c r="Q14" s="572"/>
      <c r="R14" s="544"/>
      <c r="S14" s="544"/>
    </row>
    <row r="15" spans="1:252" x14ac:dyDescent="0.2">
      <c r="A15" s="572"/>
      <c r="B15" s="559"/>
      <c r="C15" s="140" t="s">
        <v>1797</v>
      </c>
      <c r="D15" s="78">
        <v>1.3</v>
      </c>
      <c r="E15" s="545"/>
      <c r="F15" s="554"/>
      <c r="G15" s="79" t="s">
        <v>2180</v>
      </c>
      <c r="H15" s="594"/>
      <c r="I15" s="591"/>
      <c r="J15" s="591"/>
      <c r="K15" s="579"/>
      <c r="L15" s="587"/>
      <c r="M15" s="587"/>
      <c r="N15" s="545"/>
      <c r="O15" s="566"/>
      <c r="P15" s="566"/>
      <c r="Q15" s="573"/>
      <c r="R15" s="545"/>
      <c r="S15" s="545"/>
    </row>
    <row r="16" spans="1:252" x14ac:dyDescent="0.2">
      <c r="A16" s="573"/>
      <c r="B16" s="178"/>
      <c r="C16" s="140"/>
      <c r="D16" s="83">
        <f>SUM(D12:D15)</f>
        <v>15.3</v>
      </c>
      <c r="E16" s="16"/>
      <c r="F16" s="24"/>
      <c r="G16" s="63"/>
      <c r="H16" s="161"/>
      <c r="I16" s="81"/>
      <c r="J16" s="81"/>
      <c r="K16" s="82"/>
      <c r="L16" s="165"/>
      <c r="M16" s="153"/>
      <c r="N16" s="153"/>
      <c r="O16" s="140"/>
      <c r="P16" s="140"/>
      <c r="Q16" s="80"/>
      <c r="R16" s="16"/>
      <c r="S16" s="153"/>
    </row>
    <row r="17" spans="1:19" ht="16.5" customHeight="1" x14ac:dyDescent="0.2">
      <c r="A17" s="571">
        <v>3</v>
      </c>
      <c r="B17" s="558" t="s">
        <v>1898</v>
      </c>
      <c r="C17" s="140" t="s">
        <v>1039</v>
      </c>
      <c r="D17" s="78">
        <v>8</v>
      </c>
      <c r="E17" s="543" t="s">
        <v>841</v>
      </c>
      <c r="F17" s="552" t="s">
        <v>246</v>
      </c>
      <c r="G17" s="79" t="s">
        <v>2181</v>
      </c>
      <c r="H17" s="609" t="s">
        <v>1821</v>
      </c>
      <c r="I17" s="589">
        <v>40249</v>
      </c>
      <c r="J17" s="589">
        <v>40283</v>
      </c>
      <c r="K17" s="577">
        <v>40374</v>
      </c>
      <c r="L17" s="588">
        <v>25686.799999999999</v>
      </c>
      <c r="M17" s="588">
        <v>24647.52</v>
      </c>
      <c r="N17" s="543">
        <v>100</v>
      </c>
      <c r="O17" s="615" t="s">
        <v>764</v>
      </c>
      <c r="P17" s="580" t="s">
        <v>149</v>
      </c>
      <c r="Q17" s="571" t="s">
        <v>1889</v>
      </c>
      <c r="R17" s="543" t="str">
        <f>R12</f>
        <v>GOG</v>
      </c>
      <c r="S17" s="543">
        <v>1</v>
      </c>
    </row>
    <row r="18" spans="1:19" ht="15" customHeight="1" x14ac:dyDescent="0.2">
      <c r="A18" s="572"/>
      <c r="B18" s="613"/>
      <c r="C18" s="140" t="s">
        <v>1040</v>
      </c>
      <c r="D18" s="78">
        <v>8</v>
      </c>
      <c r="E18" s="544"/>
      <c r="F18" s="553"/>
      <c r="G18" s="79" t="s">
        <v>2179</v>
      </c>
      <c r="H18" s="584"/>
      <c r="I18" s="590"/>
      <c r="J18" s="590"/>
      <c r="K18" s="578"/>
      <c r="L18" s="586"/>
      <c r="M18" s="586"/>
      <c r="N18" s="544"/>
      <c r="O18" s="616"/>
      <c r="P18" s="581"/>
      <c r="Q18" s="572"/>
      <c r="R18" s="544"/>
      <c r="S18" s="544"/>
    </row>
    <row r="19" spans="1:19" ht="15" customHeight="1" x14ac:dyDescent="0.2">
      <c r="A19" s="572"/>
      <c r="B19" s="613"/>
      <c r="C19" s="140" t="s">
        <v>1073</v>
      </c>
      <c r="D19" s="78">
        <v>1.6</v>
      </c>
      <c r="E19" s="544"/>
      <c r="F19" s="553"/>
      <c r="G19" s="79" t="s">
        <v>2182</v>
      </c>
      <c r="H19" s="584"/>
      <c r="I19" s="590"/>
      <c r="J19" s="590"/>
      <c r="K19" s="578"/>
      <c r="L19" s="586"/>
      <c r="M19" s="586"/>
      <c r="N19" s="544"/>
      <c r="O19" s="616"/>
      <c r="P19" s="581"/>
      <c r="Q19" s="572"/>
      <c r="R19" s="544"/>
      <c r="S19" s="544"/>
    </row>
    <row r="20" spans="1:19" ht="16.5" customHeight="1" x14ac:dyDescent="0.2">
      <c r="A20" s="572"/>
      <c r="B20" s="559"/>
      <c r="C20" s="140" t="s">
        <v>985</v>
      </c>
      <c r="D20" s="78">
        <v>1.2</v>
      </c>
      <c r="E20" s="545"/>
      <c r="F20" s="554"/>
      <c r="G20" s="79" t="s">
        <v>2183</v>
      </c>
      <c r="H20" s="585"/>
      <c r="I20" s="591"/>
      <c r="J20" s="590"/>
      <c r="K20" s="578"/>
      <c r="L20" s="587"/>
      <c r="M20" s="587"/>
      <c r="N20" s="544"/>
      <c r="O20" s="617"/>
      <c r="P20" s="581"/>
      <c r="Q20" s="573"/>
      <c r="R20" s="545" t="s">
        <v>150</v>
      </c>
      <c r="S20" s="544"/>
    </row>
    <row r="21" spans="1:19" x14ac:dyDescent="0.2">
      <c r="A21" s="573"/>
      <c r="B21" s="138"/>
      <c r="C21" s="140"/>
      <c r="D21" s="83">
        <f>SUM(D17:D20)</f>
        <v>18.8</v>
      </c>
      <c r="E21" s="16"/>
      <c r="F21" s="24"/>
      <c r="G21" s="63"/>
      <c r="H21" s="161"/>
      <c r="I21" s="81"/>
      <c r="J21" s="81"/>
      <c r="K21" s="82"/>
      <c r="L21" s="165"/>
      <c r="M21" s="153"/>
      <c r="N21" s="153"/>
      <c r="O21" s="140"/>
      <c r="P21" s="140"/>
      <c r="Q21" s="80"/>
      <c r="R21" s="16"/>
      <c r="S21" s="153"/>
    </row>
    <row r="22" spans="1:19" ht="12.75" customHeight="1" x14ac:dyDescent="0.2">
      <c r="A22" s="571">
        <v>4</v>
      </c>
      <c r="B22" s="558" t="s">
        <v>247</v>
      </c>
      <c r="C22" s="140" t="s">
        <v>986</v>
      </c>
      <c r="D22" s="78">
        <v>1.4</v>
      </c>
      <c r="E22" s="543" t="s">
        <v>841</v>
      </c>
      <c r="F22" s="552" t="s">
        <v>246</v>
      </c>
      <c r="G22" s="7" t="s">
        <v>2184</v>
      </c>
      <c r="H22" s="592" t="s">
        <v>251</v>
      </c>
      <c r="I22" s="589">
        <v>40249</v>
      </c>
      <c r="J22" s="589">
        <v>40289</v>
      </c>
      <c r="K22" s="577">
        <v>40380</v>
      </c>
      <c r="L22" s="588">
        <v>13848</v>
      </c>
      <c r="M22" s="588">
        <v>13765.28</v>
      </c>
      <c r="N22" s="543">
        <v>100</v>
      </c>
      <c r="O22" s="580" t="s">
        <v>1140</v>
      </c>
      <c r="P22" s="603" t="s">
        <v>1253</v>
      </c>
      <c r="Q22" s="571" t="s">
        <v>248</v>
      </c>
      <c r="R22" s="543" t="str">
        <f>R17</f>
        <v>GOG</v>
      </c>
      <c r="S22" s="543"/>
    </row>
    <row r="23" spans="1:19" ht="12.75" customHeight="1" x14ac:dyDescent="0.2">
      <c r="A23" s="572"/>
      <c r="B23" s="613"/>
      <c r="C23" s="140" t="s">
        <v>987</v>
      </c>
      <c r="D23" s="78">
        <v>6</v>
      </c>
      <c r="E23" s="544"/>
      <c r="F23" s="553"/>
      <c r="G23" s="79" t="s">
        <v>2181</v>
      </c>
      <c r="H23" s="593"/>
      <c r="I23" s="590"/>
      <c r="J23" s="590"/>
      <c r="K23" s="578"/>
      <c r="L23" s="586"/>
      <c r="M23" s="586"/>
      <c r="N23" s="544"/>
      <c r="O23" s="581"/>
      <c r="P23" s="604"/>
      <c r="Q23" s="572"/>
      <c r="R23" s="544"/>
      <c r="S23" s="544"/>
    </row>
    <row r="24" spans="1:19" ht="12.75" customHeight="1" x14ac:dyDescent="0.2">
      <c r="A24" s="572"/>
      <c r="B24" s="613"/>
      <c r="C24" s="140" t="s">
        <v>667</v>
      </c>
      <c r="D24" s="78">
        <v>2.1</v>
      </c>
      <c r="E24" s="545"/>
      <c r="F24" s="554"/>
      <c r="G24" s="79" t="s">
        <v>1843</v>
      </c>
      <c r="H24" s="594"/>
      <c r="I24" s="591"/>
      <c r="J24" s="591"/>
      <c r="K24" s="579"/>
      <c r="L24" s="587"/>
      <c r="M24" s="586"/>
      <c r="N24" s="544"/>
      <c r="O24" s="581"/>
      <c r="P24" s="604"/>
      <c r="Q24" s="572"/>
      <c r="R24" s="545"/>
      <c r="S24" s="544"/>
    </row>
    <row r="25" spans="1:19" x14ac:dyDescent="0.2">
      <c r="A25" s="573"/>
      <c r="B25" s="20"/>
      <c r="C25" s="140"/>
      <c r="D25" s="95">
        <f>SUM(D22:D24)</f>
        <v>9.5</v>
      </c>
      <c r="E25" s="16"/>
      <c r="F25" s="36"/>
      <c r="G25" s="63"/>
      <c r="H25" s="161"/>
      <c r="I25" s="76"/>
      <c r="J25" s="76"/>
      <c r="K25" s="77"/>
      <c r="L25" s="165"/>
      <c r="M25" s="153"/>
      <c r="N25" s="153"/>
      <c r="O25" s="140"/>
      <c r="P25" s="140"/>
      <c r="Q25" s="80"/>
      <c r="R25" s="16"/>
      <c r="S25" s="153"/>
    </row>
    <row r="26" spans="1:19" ht="12.75" customHeight="1" x14ac:dyDescent="0.2">
      <c r="A26" s="571">
        <v>5</v>
      </c>
      <c r="B26" s="558" t="s">
        <v>232</v>
      </c>
      <c r="C26" s="140" t="s">
        <v>1280</v>
      </c>
      <c r="D26" s="78">
        <v>9</v>
      </c>
      <c r="E26" s="543" t="s">
        <v>947</v>
      </c>
      <c r="F26" s="552" t="s">
        <v>246</v>
      </c>
      <c r="G26" s="79" t="s">
        <v>2185</v>
      </c>
      <c r="H26" s="609" t="s">
        <v>233</v>
      </c>
      <c r="I26" s="589">
        <v>40249</v>
      </c>
      <c r="J26" s="589">
        <v>40317</v>
      </c>
      <c r="K26" s="577">
        <v>40440</v>
      </c>
      <c r="L26" s="588">
        <v>39491</v>
      </c>
      <c r="M26" s="588">
        <v>38185.21</v>
      </c>
      <c r="N26" s="543">
        <v>100</v>
      </c>
      <c r="O26" s="580" t="s">
        <v>1938</v>
      </c>
      <c r="P26" s="580" t="s">
        <v>149</v>
      </c>
      <c r="Q26" s="571" t="s">
        <v>901</v>
      </c>
      <c r="R26" s="543" t="str">
        <f>R22</f>
        <v>GOG</v>
      </c>
      <c r="S26" s="543">
        <v>1</v>
      </c>
    </row>
    <row r="27" spans="1:19" ht="12.75" customHeight="1" x14ac:dyDescent="0.2">
      <c r="A27" s="572"/>
      <c r="B27" s="613"/>
      <c r="C27" s="140" t="s">
        <v>668</v>
      </c>
      <c r="D27" s="78">
        <v>6</v>
      </c>
      <c r="E27" s="544"/>
      <c r="F27" s="553"/>
      <c r="G27" s="79" t="s">
        <v>948</v>
      </c>
      <c r="H27" s="584"/>
      <c r="I27" s="590"/>
      <c r="J27" s="590"/>
      <c r="K27" s="578"/>
      <c r="L27" s="586"/>
      <c r="M27" s="586"/>
      <c r="N27" s="544"/>
      <c r="O27" s="581"/>
      <c r="P27" s="581"/>
      <c r="Q27" s="572"/>
      <c r="R27" s="544"/>
      <c r="S27" s="544"/>
    </row>
    <row r="28" spans="1:19" ht="12.75" customHeight="1" x14ac:dyDescent="0.2">
      <c r="A28" s="572"/>
      <c r="B28" s="613"/>
      <c r="C28" s="140" t="s">
        <v>1281</v>
      </c>
      <c r="D28" s="78">
        <v>6.4</v>
      </c>
      <c r="E28" s="544"/>
      <c r="F28" s="553"/>
      <c r="G28" s="79" t="s">
        <v>2022</v>
      </c>
      <c r="H28" s="584"/>
      <c r="I28" s="590"/>
      <c r="J28" s="590"/>
      <c r="K28" s="578"/>
      <c r="L28" s="586"/>
      <c r="M28" s="586"/>
      <c r="N28" s="544"/>
      <c r="O28" s="581"/>
      <c r="P28" s="581"/>
      <c r="Q28" s="572"/>
      <c r="R28" s="544"/>
      <c r="S28" s="544"/>
    </row>
    <row r="29" spans="1:19" ht="12.75" customHeight="1" x14ac:dyDescent="0.2">
      <c r="A29" s="572"/>
      <c r="B29" s="613"/>
      <c r="C29" s="140" t="s">
        <v>581</v>
      </c>
      <c r="D29" s="78">
        <v>2.5</v>
      </c>
      <c r="E29" s="544"/>
      <c r="F29" s="553"/>
      <c r="G29" s="62" t="s">
        <v>1912</v>
      </c>
      <c r="H29" s="584"/>
      <c r="I29" s="590"/>
      <c r="J29" s="590"/>
      <c r="K29" s="578"/>
      <c r="L29" s="586"/>
      <c r="M29" s="586"/>
      <c r="N29" s="544"/>
      <c r="O29" s="581"/>
      <c r="P29" s="581"/>
      <c r="Q29" s="572"/>
      <c r="R29" s="544" t="s">
        <v>150</v>
      </c>
      <c r="S29" s="544"/>
    </row>
    <row r="30" spans="1:19" ht="15.75" customHeight="1" x14ac:dyDescent="0.2">
      <c r="A30" s="572"/>
      <c r="B30" s="559"/>
      <c r="C30" s="140" t="s">
        <v>1952</v>
      </c>
      <c r="D30" s="78">
        <v>3</v>
      </c>
      <c r="E30" s="545"/>
      <c r="F30" s="554"/>
      <c r="G30" s="79" t="s">
        <v>2023</v>
      </c>
      <c r="H30" s="585"/>
      <c r="I30" s="591"/>
      <c r="J30" s="591"/>
      <c r="K30" s="579"/>
      <c r="L30" s="587"/>
      <c r="M30" s="587"/>
      <c r="N30" s="544"/>
      <c r="O30" s="605"/>
      <c r="P30" s="605"/>
      <c r="Q30" s="573"/>
      <c r="R30" s="545" t="s">
        <v>150</v>
      </c>
      <c r="S30" s="544"/>
    </row>
    <row r="31" spans="1:19" x14ac:dyDescent="0.2">
      <c r="A31" s="573"/>
      <c r="B31" s="138"/>
      <c r="C31" s="140"/>
      <c r="D31" s="83">
        <f>SUM(D26:D30)</f>
        <v>26.9</v>
      </c>
      <c r="E31" s="16"/>
      <c r="F31" s="24"/>
      <c r="G31" s="63"/>
      <c r="H31" s="161"/>
      <c r="I31" s="81"/>
      <c r="J31" s="81"/>
      <c r="K31" s="82"/>
      <c r="L31" s="165"/>
      <c r="M31" s="153"/>
      <c r="N31" s="153"/>
      <c r="O31" s="140"/>
      <c r="P31" s="140"/>
      <c r="Q31" s="80"/>
      <c r="R31" s="16"/>
      <c r="S31" s="153"/>
    </row>
    <row r="32" spans="1:19" ht="15" customHeight="1" x14ac:dyDescent="0.2">
      <c r="A32" s="563">
        <v>6</v>
      </c>
      <c r="B32" s="558" t="s">
        <v>335</v>
      </c>
      <c r="C32" s="140" t="s">
        <v>582</v>
      </c>
      <c r="D32" s="78">
        <v>5.8</v>
      </c>
      <c r="E32" s="543" t="s">
        <v>533</v>
      </c>
      <c r="F32" s="552" t="s">
        <v>246</v>
      </c>
      <c r="G32" s="79" t="s">
        <v>532</v>
      </c>
      <c r="H32" s="609" t="s">
        <v>2246</v>
      </c>
      <c r="I32" s="589">
        <v>40249</v>
      </c>
      <c r="J32" s="589">
        <v>40268</v>
      </c>
      <c r="K32" s="577">
        <v>40390</v>
      </c>
      <c r="L32" s="588">
        <v>39242.15</v>
      </c>
      <c r="M32" s="588">
        <v>32784.730000000003</v>
      </c>
      <c r="N32" s="543">
        <v>100</v>
      </c>
      <c r="O32" s="615" t="s">
        <v>2247</v>
      </c>
      <c r="P32" s="603" t="s">
        <v>149</v>
      </c>
      <c r="Q32" s="571" t="s">
        <v>2245</v>
      </c>
      <c r="R32" s="543" t="str">
        <f>R26</f>
        <v>GOG</v>
      </c>
      <c r="S32" s="543">
        <v>1</v>
      </c>
    </row>
    <row r="33" spans="1:19" x14ac:dyDescent="0.2">
      <c r="A33" s="659"/>
      <c r="B33" s="613"/>
      <c r="C33" s="140" t="s">
        <v>583</v>
      </c>
      <c r="D33" s="78">
        <v>13</v>
      </c>
      <c r="E33" s="544"/>
      <c r="F33" s="553"/>
      <c r="G33" s="79" t="s">
        <v>1650</v>
      </c>
      <c r="H33" s="584"/>
      <c r="I33" s="590"/>
      <c r="J33" s="590"/>
      <c r="K33" s="578"/>
      <c r="L33" s="586"/>
      <c r="M33" s="586"/>
      <c r="N33" s="544"/>
      <c r="O33" s="616"/>
      <c r="P33" s="604"/>
      <c r="Q33" s="572"/>
      <c r="R33" s="544" t="s">
        <v>150</v>
      </c>
      <c r="S33" s="544"/>
    </row>
    <row r="34" spans="1:19" x14ac:dyDescent="0.2">
      <c r="A34" s="659"/>
      <c r="B34" s="559"/>
      <c r="C34" s="140" t="s">
        <v>703</v>
      </c>
      <c r="D34" s="78">
        <v>7.5</v>
      </c>
      <c r="E34" s="545"/>
      <c r="F34" s="553"/>
      <c r="G34" s="79" t="s">
        <v>1098</v>
      </c>
      <c r="H34" s="585"/>
      <c r="I34" s="590"/>
      <c r="J34" s="590"/>
      <c r="K34" s="578"/>
      <c r="L34" s="587"/>
      <c r="M34" s="586"/>
      <c r="N34" s="544"/>
      <c r="O34" s="617"/>
      <c r="P34" s="604"/>
      <c r="Q34" s="572"/>
      <c r="R34" s="545" t="s">
        <v>150</v>
      </c>
      <c r="S34" s="544"/>
    </row>
    <row r="35" spans="1:19" x14ac:dyDescent="0.2">
      <c r="A35" s="564"/>
      <c r="B35" s="138"/>
      <c r="C35" s="140"/>
      <c r="D35" s="83">
        <f>SUM(D32:D34)</f>
        <v>26.3</v>
      </c>
      <c r="E35" s="16"/>
      <c r="F35" s="24"/>
      <c r="G35" s="63"/>
      <c r="H35" s="161"/>
      <c r="I35" s="81"/>
      <c r="J35" s="81"/>
      <c r="K35" s="82"/>
      <c r="L35" s="165"/>
      <c r="M35" s="153"/>
      <c r="N35" s="153"/>
      <c r="O35" s="140"/>
      <c r="P35" s="140"/>
      <c r="Q35" s="80"/>
      <c r="R35" s="16"/>
      <c r="S35" s="153"/>
    </row>
    <row r="36" spans="1:19" ht="28.5" customHeight="1" x14ac:dyDescent="0.2">
      <c r="A36" s="563">
        <v>7</v>
      </c>
      <c r="B36" s="558" t="s">
        <v>336</v>
      </c>
      <c r="C36" s="140" t="s">
        <v>1275</v>
      </c>
      <c r="D36" s="78">
        <v>18</v>
      </c>
      <c r="E36" s="543" t="s">
        <v>533</v>
      </c>
      <c r="F36" s="552" t="s">
        <v>246</v>
      </c>
      <c r="G36" s="79" t="s">
        <v>1649</v>
      </c>
      <c r="H36" s="606" t="s">
        <v>235</v>
      </c>
      <c r="I36" s="589">
        <v>40249</v>
      </c>
      <c r="J36" s="589">
        <v>40317</v>
      </c>
      <c r="K36" s="577">
        <v>40440</v>
      </c>
      <c r="L36" s="588">
        <v>28240</v>
      </c>
      <c r="M36" s="588">
        <v>26367.7</v>
      </c>
      <c r="N36" s="543">
        <v>100</v>
      </c>
      <c r="O36" s="603" t="s">
        <v>767</v>
      </c>
      <c r="P36" s="603"/>
      <c r="Q36" s="571" t="s">
        <v>337</v>
      </c>
      <c r="R36" s="543" t="str">
        <f>R32</f>
        <v>GOG</v>
      </c>
      <c r="S36" s="543">
        <v>1</v>
      </c>
    </row>
    <row r="37" spans="1:19" ht="24.75" customHeight="1" x14ac:dyDescent="0.2">
      <c r="A37" s="659"/>
      <c r="B37" s="559"/>
      <c r="C37" s="140" t="s">
        <v>1276</v>
      </c>
      <c r="D37" s="78">
        <v>2</v>
      </c>
      <c r="E37" s="545"/>
      <c r="F37" s="553"/>
      <c r="G37" s="79" t="s">
        <v>1844</v>
      </c>
      <c r="H37" s="608"/>
      <c r="I37" s="590"/>
      <c r="J37" s="590"/>
      <c r="K37" s="578"/>
      <c r="L37" s="587"/>
      <c r="M37" s="586"/>
      <c r="N37" s="544"/>
      <c r="O37" s="604"/>
      <c r="P37" s="604"/>
      <c r="Q37" s="572"/>
      <c r="R37" s="545" t="s">
        <v>150</v>
      </c>
      <c r="S37" s="544"/>
    </row>
    <row r="38" spans="1:19" x14ac:dyDescent="0.2">
      <c r="A38" s="564"/>
      <c r="B38" s="138"/>
      <c r="C38" s="140"/>
      <c r="D38" s="83">
        <f>SUM(D36:D37)</f>
        <v>20</v>
      </c>
      <c r="E38" s="16"/>
      <c r="F38" s="24"/>
      <c r="G38" s="63"/>
      <c r="H38" s="161"/>
      <c r="I38" s="81"/>
      <c r="J38" s="81"/>
      <c r="K38" s="82"/>
      <c r="L38" s="165"/>
      <c r="M38" s="153"/>
      <c r="N38" s="153"/>
      <c r="O38" s="140"/>
      <c r="P38" s="140"/>
      <c r="Q38" s="80"/>
      <c r="R38" s="16"/>
      <c r="S38" s="153"/>
    </row>
    <row r="39" spans="1:19" ht="22.5" customHeight="1" x14ac:dyDescent="0.2">
      <c r="A39" s="563">
        <v>8</v>
      </c>
      <c r="B39" s="558" t="s">
        <v>1602</v>
      </c>
      <c r="C39" s="140" t="s">
        <v>1652</v>
      </c>
      <c r="D39" s="78">
        <v>5.2</v>
      </c>
      <c r="E39" s="543" t="s">
        <v>655</v>
      </c>
      <c r="F39" s="552" t="s">
        <v>246</v>
      </c>
      <c r="G39" s="79" t="s">
        <v>1845</v>
      </c>
      <c r="H39" s="660" t="s">
        <v>2120</v>
      </c>
      <c r="I39" s="589">
        <v>40249</v>
      </c>
      <c r="J39" s="589">
        <v>40302</v>
      </c>
      <c r="K39" s="577">
        <v>40394</v>
      </c>
      <c r="L39" s="588">
        <v>21522</v>
      </c>
      <c r="M39" s="588">
        <v>21385.7</v>
      </c>
      <c r="N39" s="543">
        <v>100</v>
      </c>
      <c r="O39" s="603" t="s">
        <v>767</v>
      </c>
      <c r="P39" s="603"/>
      <c r="Q39" s="571" t="s">
        <v>1651</v>
      </c>
      <c r="R39" s="543" t="str">
        <f>R36</f>
        <v>GOG</v>
      </c>
      <c r="S39" s="600">
        <v>1</v>
      </c>
    </row>
    <row r="40" spans="1:19" ht="24" customHeight="1" x14ac:dyDescent="0.2">
      <c r="A40" s="659"/>
      <c r="B40" s="613"/>
      <c r="C40" s="140" t="s">
        <v>1603</v>
      </c>
      <c r="D40" s="78">
        <v>10.199999999999999</v>
      </c>
      <c r="E40" s="545"/>
      <c r="F40" s="554"/>
      <c r="G40" s="79" t="s">
        <v>1601</v>
      </c>
      <c r="H40" s="661"/>
      <c r="I40" s="590"/>
      <c r="J40" s="590"/>
      <c r="K40" s="579"/>
      <c r="L40" s="587"/>
      <c r="M40" s="587"/>
      <c r="N40" s="544"/>
      <c r="O40" s="604"/>
      <c r="P40" s="604"/>
      <c r="Q40" s="573"/>
      <c r="R40" s="545" t="s">
        <v>150</v>
      </c>
      <c r="S40" s="602"/>
    </row>
    <row r="41" spans="1:19" x14ac:dyDescent="0.2">
      <c r="A41" s="564"/>
      <c r="B41" s="20"/>
      <c r="C41" s="140"/>
      <c r="D41" s="83">
        <f>SUM(D39:D40)</f>
        <v>15.399999999999999</v>
      </c>
      <c r="E41" s="16"/>
      <c r="F41" s="24"/>
      <c r="G41" s="63"/>
      <c r="H41" s="161"/>
      <c r="I41" s="81"/>
      <c r="J41" s="81"/>
      <c r="K41" s="86"/>
      <c r="L41" s="165"/>
      <c r="M41" s="153"/>
      <c r="N41" s="153"/>
      <c r="O41" s="140"/>
      <c r="P41" s="140"/>
      <c r="Q41" s="80"/>
      <c r="R41" s="16"/>
      <c r="S41" s="153"/>
    </row>
    <row r="42" spans="1:19" ht="12.75" customHeight="1" x14ac:dyDescent="0.2">
      <c r="A42" s="563">
        <v>9</v>
      </c>
      <c r="B42" s="558" t="s">
        <v>464</v>
      </c>
      <c r="C42" s="140" t="s">
        <v>1837</v>
      </c>
      <c r="D42" s="78">
        <v>4.2</v>
      </c>
      <c r="E42" s="543" t="s">
        <v>1840</v>
      </c>
      <c r="F42" s="552" t="s">
        <v>246</v>
      </c>
      <c r="G42" s="79" t="s">
        <v>1841</v>
      </c>
      <c r="H42" s="606" t="s">
        <v>2121</v>
      </c>
      <c r="I42" s="589">
        <v>40249</v>
      </c>
      <c r="J42" s="589">
        <v>40324</v>
      </c>
      <c r="K42" s="577">
        <v>40416</v>
      </c>
      <c r="L42" s="588">
        <v>17368</v>
      </c>
      <c r="M42" s="588">
        <v>17244.8</v>
      </c>
      <c r="N42" s="543">
        <v>100</v>
      </c>
      <c r="O42" s="603" t="s">
        <v>1090</v>
      </c>
      <c r="P42" s="603" t="s">
        <v>149</v>
      </c>
      <c r="Q42" s="571" t="s">
        <v>1839</v>
      </c>
      <c r="R42" s="543" t="str">
        <f>R36</f>
        <v>GOG</v>
      </c>
      <c r="S42" s="543">
        <v>1</v>
      </c>
    </row>
    <row r="43" spans="1:19" ht="12.75" customHeight="1" x14ac:dyDescent="0.2">
      <c r="A43" s="659"/>
      <c r="B43" s="613"/>
      <c r="C43" s="140" t="s">
        <v>450</v>
      </c>
      <c r="D43" s="78">
        <v>4.4000000000000004</v>
      </c>
      <c r="E43" s="544"/>
      <c r="F43" s="553"/>
      <c r="G43" s="62" t="s">
        <v>1912</v>
      </c>
      <c r="H43" s="607" t="s">
        <v>1099</v>
      </c>
      <c r="I43" s="590"/>
      <c r="J43" s="590"/>
      <c r="K43" s="578"/>
      <c r="L43" s="586"/>
      <c r="M43" s="586"/>
      <c r="N43" s="544"/>
      <c r="O43" s="604"/>
      <c r="P43" s="604"/>
      <c r="Q43" s="572"/>
      <c r="R43" s="544" t="s">
        <v>150</v>
      </c>
      <c r="S43" s="544"/>
    </row>
    <row r="44" spans="1:19" ht="12.75" customHeight="1" x14ac:dyDescent="0.2">
      <c r="A44" s="659"/>
      <c r="B44" s="613"/>
      <c r="C44" s="230" t="s">
        <v>454</v>
      </c>
      <c r="D44" s="78">
        <v>6.5</v>
      </c>
      <c r="E44" s="544"/>
      <c r="F44" s="553"/>
      <c r="G44" s="79" t="s">
        <v>1842</v>
      </c>
      <c r="H44" s="607"/>
      <c r="I44" s="590"/>
      <c r="J44" s="590"/>
      <c r="K44" s="578"/>
      <c r="L44" s="586"/>
      <c r="M44" s="586"/>
      <c r="N44" s="544"/>
      <c r="O44" s="604"/>
      <c r="P44" s="604"/>
      <c r="Q44" s="572"/>
      <c r="R44" s="544"/>
      <c r="S44" s="544"/>
    </row>
    <row r="45" spans="1:19" ht="13.5" customHeight="1" x14ac:dyDescent="0.2">
      <c r="A45" s="659"/>
      <c r="B45" s="559"/>
      <c r="C45" s="140" t="s">
        <v>451</v>
      </c>
      <c r="D45" s="78">
        <v>1.6</v>
      </c>
      <c r="E45" s="545"/>
      <c r="F45" s="554"/>
      <c r="G45" s="79" t="s">
        <v>453</v>
      </c>
      <c r="H45" s="608" t="s">
        <v>1099</v>
      </c>
      <c r="I45" s="590"/>
      <c r="J45" s="591"/>
      <c r="K45" s="579"/>
      <c r="L45" s="587"/>
      <c r="M45" s="587"/>
      <c r="N45" s="545"/>
      <c r="O45" s="604"/>
      <c r="P45" s="604"/>
      <c r="Q45" s="573"/>
      <c r="R45" s="545" t="s">
        <v>150</v>
      </c>
      <c r="S45" s="545"/>
    </row>
    <row r="46" spans="1:19" x14ac:dyDescent="0.2">
      <c r="A46" s="564"/>
      <c r="B46" s="138"/>
      <c r="C46" s="140"/>
      <c r="D46" s="83">
        <f>SUM(D42:D45)</f>
        <v>16.700000000000003</v>
      </c>
      <c r="E46" s="16"/>
      <c r="F46" s="24"/>
      <c r="G46" s="63"/>
      <c r="H46" s="161"/>
      <c r="I46" s="81"/>
      <c r="J46" s="81"/>
      <c r="K46" s="82"/>
      <c r="L46" s="165"/>
      <c r="M46" s="153"/>
      <c r="N46" s="153"/>
      <c r="O46" s="140"/>
      <c r="P46" s="140"/>
      <c r="Q46" s="80"/>
      <c r="R46" s="16"/>
      <c r="S46" s="153"/>
    </row>
    <row r="47" spans="1:19" ht="12.75" customHeight="1" x14ac:dyDescent="0.2">
      <c r="A47" s="563">
        <v>10</v>
      </c>
      <c r="B47" s="558" t="s">
        <v>526</v>
      </c>
      <c r="C47" s="140" t="s">
        <v>1553</v>
      </c>
      <c r="D47" s="78">
        <v>4.6500000000000004</v>
      </c>
      <c r="E47" s="543" t="s">
        <v>942</v>
      </c>
      <c r="F47" s="552" t="s">
        <v>246</v>
      </c>
      <c r="G47" s="79" t="s">
        <v>2073</v>
      </c>
      <c r="H47" s="592" t="s">
        <v>1057</v>
      </c>
      <c r="I47" s="589">
        <v>40249</v>
      </c>
      <c r="J47" s="589">
        <v>40304</v>
      </c>
      <c r="K47" s="577">
        <v>40427</v>
      </c>
      <c r="L47" s="588">
        <v>30005.5</v>
      </c>
      <c r="M47" s="588">
        <v>29401.07</v>
      </c>
      <c r="N47" s="543">
        <v>100</v>
      </c>
      <c r="O47" s="603" t="s">
        <v>569</v>
      </c>
      <c r="P47" s="603" t="s">
        <v>149</v>
      </c>
      <c r="Q47" s="571" t="s">
        <v>527</v>
      </c>
      <c r="R47" s="543" t="str">
        <f>R42</f>
        <v>GOG</v>
      </c>
      <c r="S47" s="543">
        <v>1</v>
      </c>
    </row>
    <row r="48" spans="1:19" ht="12.75" customHeight="1" x14ac:dyDescent="0.2">
      <c r="A48" s="659"/>
      <c r="B48" s="613"/>
      <c r="C48" s="140" t="s">
        <v>1939</v>
      </c>
      <c r="D48" s="78">
        <v>0.8</v>
      </c>
      <c r="E48" s="544"/>
      <c r="F48" s="553"/>
      <c r="G48" s="63" t="s">
        <v>1554</v>
      </c>
      <c r="H48" s="593"/>
      <c r="I48" s="590"/>
      <c r="J48" s="590"/>
      <c r="K48" s="578"/>
      <c r="L48" s="586"/>
      <c r="M48" s="586"/>
      <c r="N48" s="618"/>
      <c r="O48" s="604"/>
      <c r="P48" s="604"/>
      <c r="Q48" s="572"/>
      <c r="R48" s="544" t="s">
        <v>150</v>
      </c>
      <c r="S48" s="618"/>
    </row>
    <row r="49" spans="1:19" ht="12.75" customHeight="1" x14ac:dyDescent="0.2">
      <c r="A49" s="659"/>
      <c r="B49" s="613"/>
      <c r="C49" s="140" t="s">
        <v>1940</v>
      </c>
      <c r="D49" s="78">
        <v>2.5</v>
      </c>
      <c r="E49" s="544"/>
      <c r="F49" s="553"/>
      <c r="G49" s="63" t="s">
        <v>567</v>
      </c>
      <c r="H49" s="593"/>
      <c r="I49" s="590"/>
      <c r="J49" s="590"/>
      <c r="K49" s="578"/>
      <c r="L49" s="586"/>
      <c r="M49" s="586"/>
      <c r="N49" s="618"/>
      <c r="O49" s="604"/>
      <c r="P49" s="604"/>
      <c r="Q49" s="572"/>
      <c r="R49" s="544" t="s">
        <v>150</v>
      </c>
      <c r="S49" s="618"/>
    </row>
    <row r="50" spans="1:19" ht="12.75" customHeight="1" x14ac:dyDescent="0.2">
      <c r="A50" s="659"/>
      <c r="B50" s="559"/>
      <c r="C50" s="140" t="s">
        <v>946</v>
      </c>
      <c r="D50" s="78">
        <v>12.5</v>
      </c>
      <c r="E50" s="545"/>
      <c r="F50" s="553"/>
      <c r="G50" s="63" t="s">
        <v>2233</v>
      </c>
      <c r="H50" s="594"/>
      <c r="I50" s="590"/>
      <c r="J50" s="590"/>
      <c r="K50" s="578"/>
      <c r="L50" s="587"/>
      <c r="M50" s="586"/>
      <c r="N50" s="618"/>
      <c r="O50" s="604"/>
      <c r="P50" s="604"/>
      <c r="Q50" s="572"/>
      <c r="R50" s="545" t="s">
        <v>150</v>
      </c>
      <c r="S50" s="618"/>
    </row>
    <row r="51" spans="1:19" x14ac:dyDescent="0.2">
      <c r="A51" s="564"/>
      <c r="B51" s="138"/>
      <c r="C51" s="140"/>
      <c r="D51" s="83">
        <f>SUM(D47:D50)</f>
        <v>20.45</v>
      </c>
      <c r="E51" s="16"/>
      <c r="F51" s="24"/>
      <c r="G51" s="63"/>
      <c r="H51" s="161"/>
      <c r="I51" s="81"/>
      <c r="J51" s="81"/>
      <c r="K51" s="82"/>
      <c r="L51" s="165"/>
      <c r="M51" s="153"/>
      <c r="N51" s="153"/>
      <c r="O51" s="140"/>
      <c r="P51" s="140"/>
      <c r="Q51" s="80"/>
      <c r="R51" s="16"/>
      <c r="S51" s="153"/>
    </row>
    <row r="52" spans="1:19" ht="21.75" customHeight="1" x14ac:dyDescent="0.2">
      <c r="A52" s="563">
        <v>12</v>
      </c>
      <c r="B52" s="558" t="s">
        <v>941</v>
      </c>
      <c r="C52" s="140" t="s">
        <v>1732</v>
      </c>
      <c r="D52" s="103">
        <v>15</v>
      </c>
      <c r="E52" s="543" t="s">
        <v>942</v>
      </c>
      <c r="F52" s="552" t="s">
        <v>246</v>
      </c>
      <c r="G52" s="63" t="s">
        <v>1733</v>
      </c>
      <c r="H52" s="609" t="s">
        <v>810</v>
      </c>
      <c r="I52" s="589">
        <v>40249</v>
      </c>
      <c r="J52" s="589">
        <v>40297</v>
      </c>
      <c r="K52" s="577">
        <v>40388</v>
      </c>
      <c r="L52" s="588">
        <v>23497.200000000001</v>
      </c>
      <c r="M52" s="588">
        <v>17515.560000000001</v>
      </c>
      <c r="N52" s="543">
        <v>100</v>
      </c>
      <c r="O52" s="690" t="s">
        <v>2082</v>
      </c>
      <c r="P52" s="603"/>
      <c r="Q52" s="571" t="s">
        <v>742</v>
      </c>
      <c r="R52" s="543" t="str">
        <f>R47</f>
        <v>GOG</v>
      </c>
      <c r="S52" s="543">
        <v>1</v>
      </c>
    </row>
    <row r="53" spans="1:19" ht="21.75" customHeight="1" x14ac:dyDescent="0.2">
      <c r="A53" s="659"/>
      <c r="B53" s="613"/>
      <c r="C53" s="227" t="s">
        <v>1014</v>
      </c>
      <c r="D53" s="78">
        <v>4.5</v>
      </c>
      <c r="E53" s="544"/>
      <c r="F53" s="553"/>
      <c r="G53" s="226" t="s">
        <v>1730</v>
      </c>
      <c r="H53" s="584"/>
      <c r="I53" s="590"/>
      <c r="J53" s="590"/>
      <c r="K53" s="578"/>
      <c r="L53" s="586"/>
      <c r="M53" s="586"/>
      <c r="N53" s="544"/>
      <c r="O53" s="691"/>
      <c r="P53" s="604"/>
      <c r="Q53" s="572"/>
      <c r="R53" s="544"/>
      <c r="S53" s="544"/>
    </row>
    <row r="54" spans="1:19" ht="23.25" customHeight="1" x14ac:dyDescent="0.2">
      <c r="A54" s="659"/>
      <c r="B54" s="559"/>
      <c r="C54" s="140" t="s">
        <v>1734</v>
      </c>
      <c r="D54" s="78">
        <v>0.6</v>
      </c>
      <c r="E54" s="545"/>
      <c r="F54" s="553"/>
      <c r="G54" s="62" t="s">
        <v>1912</v>
      </c>
      <c r="H54" s="585"/>
      <c r="I54" s="590"/>
      <c r="J54" s="590"/>
      <c r="K54" s="578"/>
      <c r="L54" s="587"/>
      <c r="M54" s="586"/>
      <c r="N54" s="544"/>
      <c r="O54" s="691"/>
      <c r="P54" s="604"/>
      <c r="Q54" s="572"/>
      <c r="R54" s="545" t="s">
        <v>150</v>
      </c>
      <c r="S54" s="544"/>
    </row>
    <row r="55" spans="1:19" x14ac:dyDescent="0.2">
      <c r="A55" s="564"/>
      <c r="B55" s="138"/>
      <c r="C55" s="140"/>
      <c r="D55" s="83">
        <f>SUM(D52:D54)</f>
        <v>20.100000000000001</v>
      </c>
      <c r="E55" s="16"/>
      <c r="F55" s="24"/>
      <c r="G55" s="63"/>
      <c r="H55" s="161"/>
      <c r="I55" s="81"/>
      <c r="J55" s="81"/>
      <c r="K55" s="82"/>
      <c r="L55" s="165"/>
      <c r="M55" s="153"/>
      <c r="N55" s="153"/>
      <c r="O55" s="140"/>
      <c r="P55" s="140"/>
      <c r="Q55" s="80"/>
      <c r="R55" s="16"/>
      <c r="S55" s="153"/>
    </row>
    <row r="56" spans="1:19" ht="15" customHeight="1" x14ac:dyDescent="0.2">
      <c r="A56" s="563">
        <v>13</v>
      </c>
      <c r="B56" s="558" t="s">
        <v>1346</v>
      </c>
      <c r="C56" s="140" t="s">
        <v>1735</v>
      </c>
      <c r="D56" s="78">
        <v>5.2</v>
      </c>
      <c r="E56" s="543" t="s">
        <v>1736</v>
      </c>
      <c r="F56" s="552" t="s">
        <v>246</v>
      </c>
      <c r="G56" s="79" t="s">
        <v>1100</v>
      </c>
      <c r="H56" s="609" t="s">
        <v>1900</v>
      </c>
      <c r="I56" s="589">
        <v>40249</v>
      </c>
      <c r="J56" s="589">
        <v>40273</v>
      </c>
      <c r="K56" s="577">
        <v>40395</v>
      </c>
      <c r="L56" s="588">
        <v>46556</v>
      </c>
      <c r="M56" s="588">
        <v>45754.3</v>
      </c>
      <c r="N56" s="543">
        <v>100</v>
      </c>
      <c r="O56" s="580" t="s">
        <v>1508</v>
      </c>
      <c r="P56" s="580" t="s">
        <v>149</v>
      </c>
      <c r="Q56" s="571" t="s">
        <v>1347</v>
      </c>
      <c r="R56" s="543" t="str">
        <f>R52</f>
        <v>GOG</v>
      </c>
      <c r="S56" s="543">
        <v>1</v>
      </c>
    </row>
    <row r="57" spans="1:19" x14ac:dyDescent="0.2">
      <c r="A57" s="659"/>
      <c r="B57" s="613"/>
      <c r="C57" s="140" t="s">
        <v>1408</v>
      </c>
      <c r="D57" s="78">
        <v>12.4</v>
      </c>
      <c r="E57" s="544"/>
      <c r="F57" s="553"/>
      <c r="G57" s="79" t="s">
        <v>1409</v>
      </c>
      <c r="H57" s="584"/>
      <c r="I57" s="590"/>
      <c r="J57" s="590"/>
      <c r="K57" s="578"/>
      <c r="L57" s="586"/>
      <c r="M57" s="586"/>
      <c r="N57" s="544"/>
      <c r="O57" s="581"/>
      <c r="P57" s="581"/>
      <c r="Q57" s="572"/>
      <c r="R57" s="544"/>
      <c r="S57" s="544"/>
    </row>
    <row r="58" spans="1:19" x14ac:dyDescent="0.2">
      <c r="A58" s="659"/>
      <c r="B58" s="613"/>
      <c r="C58" s="140" t="s">
        <v>2018</v>
      </c>
      <c r="D58" s="78">
        <v>4.0999999999999996</v>
      </c>
      <c r="E58" s="544"/>
      <c r="F58" s="553"/>
      <c r="G58" s="79" t="s">
        <v>2019</v>
      </c>
      <c r="H58" s="584"/>
      <c r="I58" s="590"/>
      <c r="J58" s="590"/>
      <c r="K58" s="578"/>
      <c r="L58" s="586"/>
      <c r="M58" s="586"/>
      <c r="N58" s="544"/>
      <c r="O58" s="581"/>
      <c r="P58" s="581"/>
      <c r="Q58" s="572"/>
      <c r="R58" s="544"/>
      <c r="S58" s="544"/>
    </row>
    <row r="59" spans="1:19" x14ac:dyDescent="0.2">
      <c r="A59" s="659"/>
      <c r="B59" s="613"/>
      <c r="C59" s="140" t="s">
        <v>848</v>
      </c>
      <c r="D59" s="78">
        <v>1.3</v>
      </c>
      <c r="E59" s="544"/>
      <c r="F59" s="553"/>
      <c r="G59" s="79" t="s">
        <v>1101</v>
      </c>
      <c r="H59" s="584"/>
      <c r="I59" s="590"/>
      <c r="J59" s="590"/>
      <c r="K59" s="578"/>
      <c r="L59" s="586"/>
      <c r="M59" s="586"/>
      <c r="N59" s="544"/>
      <c r="O59" s="581"/>
      <c r="P59" s="581"/>
      <c r="Q59" s="572"/>
      <c r="R59" s="544"/>
      <c r="S59" s="544"/>
    </row>
    <row r="60" spans="1:19" x14ac:dyDescent="0.2">
      <c r="A60" s="659"/>
      <c r="B60" s="613"/>
      <c r="C60" s="140" t="s">
        <v>1407</v>
      </c>
      <c r="D60" s="78">
        <v>4.5</v>
      </c>
      <c r="E60" s="544"/>
      <c r="F60" s="553"/>
      <c r="G60" s="62" t="s">
        <v>1912</v>
      </c>
      <c r="H60" s="584"/>
      <c r="I60" s="590"/>
      <c r="J60" s="590"/>
      <c r="K60" s="578"/>
      <c r="L60" s="586"/>
      <c r="M60" s="586"/>
      <c r="N60" s="544"/>
      <c r="O60" s="581"/>
      <c r="P60" s="581"/>
      <c r="Q60" s="572"/>
      <c r="R60" s="544"/>
      <c r="S60" s="544"/>
    </row>
    <row r="61" spans="1:19" x14ac:dyDescent="0.2">
      <c r="A61" s="659"/>
      <c r="B61" s="559"/>
      <c r="C61" s="140" t="s">
        <v>1966</v>
      </c>
      <c r="D61" s="78">
        <v>2.8</v>
      </c>
      <c r="E61" s="545"/>
      <c r="F61" s="554"/>
      <c r="G61" s="79" t="s">
        <v>847</v>
      </c>
      <c r="H61" s="585"/>
      <c r="I61" s="590"/>
      <c r="J61" s="590"/>
      <c r="K61" s="578"/>
      <c r="L61" s="587"/>
      <c r="M61" s="587"/>
      <c r="N61" s="544"/>
      <c r="O61" s="581"/>
      <c r="P61" s="581"/>
      <c r="Q61" s="573"/>
      <c r="R61" s="545" t="s">
        <v>150</v>
      </c>
      <c r="S61" s="544"/>
    </row>
    <row r="62" spans="1:19" x14ac:dyDescent="0.2">
      <c r="A62" s="564"/>
      <c r="B62" s="138"/>
      <c r="C62" s="140"/>
      <c r="D62" s="83">
        <f>SUM(D56:D61)</f>
        <v>30.300000000000004</v>
      </c>
      <c r="E62" s="16"/>
      <c r="F62" s="24"/>
      <c r="G62" s="63"/>
      <c r="H62" s="161"/>
      <c r="I62" s="81"/>
      <c r="J62" s="81"/>
      <c r="K62" s="82"/>
      <c r="L62" s="165"/>
      <c r="M62" s="153"/>
      <c r="N62" s="153"/>
      <c r="O62" s="140"/>
      <c r="P62" s="140"/>
      <c r="Q62" s="80"/>
      <c r="R62" s="16"/>
      <c r="S62" s="153"/>
    </row>
    <row r="63" spans="1:19" x14ac:dyDescent="0.2">
      <c r="A63" s="563">
        <v>14</v>
      </c>
      <c r="B63" s="558" t="s">
        <v>1410</v>
      </c>
      <c r="C63" s="140" t="s">
        <v>1411</v>
      </c>
      <c r="D63" s="78">
        <v>8.4</v>
      </c>
      <c r="E63" s="543" t="s">
        <v>1736</v>
      </c>
      <c r="F63" s="552" t="s">
        <v>246</v>
      </c>
      <c r="G63" s="79" t="s">
        <v>1846</v>
      </c>
      <c r="H63" s="609" t="s">
        <v>1894</v>
      </c>
      <c r="I63" s="589">
        <v>40249</v>
      </c>
      <c r="J63" s="589">
        <v>40275</v>
      </c>
      <c r="K63" s="577">
        <v>40397</v>
      </c>
      <c r="L63" s="588">
        <v>33170</v>
      </c>
      <c r="M63" s="588">
        <v>29190.6</v>
      </c>
      <c r="N63" s="543">
        <v>100</v>
      </c>
      <c r="O63" s="580" t="s">
        <v>1181</v>
      </c>
      <c r="P63" s="580"/>
      <c r="Q63" s="571" t="s">
        <v>1895</v>
      </c>
      <c r="R63" s="543" t="str">
        <f>R56</f>
        <v>GOG</v>
      </c>
      <c r="S63" s="543">
        <v>1</v>
      </c>
    </row>
    <row r="64" spans="1:19" x14ac:dyDescent="0.2">
      <c r="A64" s="659"/>
      <c r="B64" s="613"/>
      <c r="C64" s="140" t="s">
        <v>1509</v>
      </c>
      <c r="D64" s="78">
        <v>10.4</v>
      </c>
      <c r="E64" s="544"/>
      <c r="F64" s="553"/>
      <c r="G64" s="79" t="s">
        <v>872</v>
      </c>
      <c r="H64" s="584"/>
      <c r="I64" s="590"/>
      <c r="J64" s="590"/>
      <c r="K64" s="578"/>
      <c r="L64" s="586"/>
      <c r="M64" s="586"/>
      <c r="N64" s="544"/>
      <c r="O64" s="581"/>
      <c r="P64" s="581"/>
      <c r="Q64" s="572"/>
      <c r="R64" s="544"/>
      <c r="S64" s="544"/>
    </row>
    <row r="65" spans="1:19" x14ac:dyDescent="0.2">
      <c r="A65" s="659"/>
      <c r="B65" s="559"/>
      <c r="C65" s="140" t="s">
        <v>1873</v>
      </c>
      <c r="D65" s="78">
        <v>3</v>
      </c>
      <c r="E65" s="545"/>
      <c r="F65" s="554"/>
      <c r="G65" s="62" t="s">
        <v>1912</v>
      </c>
      <c r="H65" s="585"/>
      <c r="I65" s="590"/>
      <c r="J65" s="590"/>
      <c r="K65" s="578"/>
      <c r="L65" s="587"/>
      <c r="M65" s="586"/>
      <c r="N65" s="544"/>
      <c r="O65" s="581"/>
      <c r="P65" s="581"/>
      <c r="Q65" s="573"/>
      <c r="R65" s="545" t="s">
        <v>150</v>
      </c>
      <c r="S65" s="544"/>
    </row>
    <row r="66" spans="1:19" x14ac:dyDescent="0.2">
      <c r="A66" s="564"/>
      <c r="B66" s="138"/>
      <c r="C66" s="140"/>
      <c r="D66" s="83">
        <f>SUM(D63:D65)</f>
        <v>21.8</v>
      </c>
      <c r="E66" s="16"/>
      <c r="F66" s="24"/>
      <c r="G66" s="63"/>
      <c r="H66" s="161"/>
      <c r="I66" s="81"/>
      <c r="J66" s="81"/>
      <c r="K66" s="82"/>
      <c r="L66" s="165"/>
      <c r="M66" s="153"/>
      <c r="N66" s="153"/>
      <c r="O66" s="140"/>
      <c r="P66" s="140"/>
      <c r="Q66" s="80"/>
      <c r="R66" s="16"/>
      <c r="S66" s="153"/>
    </row>
    <row r="67" spans="1:19" ht="30.75" customHeight="1" x14ac:dyDescent="0.2">
      <c r="A67" s="563">
        <v>15</v>
      </c>
      <c r="B67" s="558" t="s">
        <v>1896</v>
      </c>
      <c r="C67" s="140" t="s">
        <v>1539</v>
      </c>
      <c r="D67" s="78">
        <v>4.5999999999999996</v>
      </c>
      <c r="E67" s="543" t="s">
        <v>1538</v>
      </c>
      <c r="F67" s="552" t="s">
        <v>246</v>
      </c>
      <c r="G67" s="79" t="s">
        <v>1540</v>
      </c>
      <c r="H67" s="609" t="s">
        <v>1058</v>
      </c>
      <c r="I67" s="589">
        <v>40249</v>
      </c>
      <c r="J67" s="589">
        <v>40281</v>
      </c>
      <c r="K67" s="577">
        <v>40372</v>
      </c>
      <c r="L67" s="588">
        <v>17985.55</v>
      </c>
      <c r="M67" s="588">
        <v>17138.02</v>
      </c>
      <c r="N67" s="543">
        <v>100</v>
      </c>
      <c r="O67" s="615" t="s">
        <v>590</v>
      </c>
      <c r="P67" s="603" t="s">
        <v>149</v>
      </c>
      <c r="Q67" s="571" t="s">
        <v>1537</v>
      </c>
      <c r="R67" s="543" t="str">
        <f>R63</f>
        <v>GOG</v>
      </c>
      <c r="S67" s="543">
        <v>1</v>
      </c>
    </row>
    <row r="68" spans="1:19" ht="29.25" customHeight="1" x14ac:dyDescent="0.2">
      <c r="A68" s="659"/>
      <c r="B68" s="559"/>
      <c r="C68" s="140" t="s">
        <v>1690</v>
      </c>
      <c r="D68" s="78">
        <v>8.5</v>
      </c>
      <c r="E68" s="545"/>
      <c r="F68" s="553"/>
      <c r="G68" s="79" t="s">
        <v>1691</v>
      </c>
      <c r="H68" s="585"/>
      <c r="I68" s="590"/>
      <c r="J68" s="590"/>
      <c r="K68" s="578"/>
      <c r="L68" s="587"/>
      <c r="M68" s="586"/>
      <c r="N68" s="544"/>
      <c r="O68" s="616"/>
      <c r="P68" s="604"/>
      <c r="Q68" s="572"/>
      <c r="R68" s="545" t="s">
        <v>150</v>
      </c>
      <c r="S68" s="544"/>
    </row>
    <row r="69" spans="1:19" x14ac:dyDescent="0.2">
      <c r="A69" s="564"/>
      <c r="B69" s="138"/>
      <c r="C69" s="140"/>
      <c r="D69" s="83">
        <f>SUM(D67:D68)</f>
        <v>13.1</v>
      </c>
      <c r="E69" s="16"/>
      <c r="F69" s="24"/>
      <c r="G69" s="63"/>
      <c r="H69" s="161"/>
      <c r="I69" s="81"/>
      <c r="J69" s="81"/>
      <c r="K69" s="82"/>
      <c r="L69" s="165"/>
      <c r="M69" s="153"/>
      <c r="N69" s="153"/>
      <c r="O69" s="140"/>
      <c r="P69" s="140"/>
      <c r="Q69" s="80"/>
      <c r="R69" s="16"/>
      <c r="S69" s="153"/>
    </row>
    <row r="70" spans="1:19" ht="20.25" customHeight="1" x14ac:dyDescent="0.2">
      <c r="A70" s="563">
        <v>16</v>
      </c>
      <c r="B70" s="558" t="s">
        <v>1112</v>
      </c>
      <c r="C70" s="140" t="s">
        <v>1114</v>
      </c>
      <c r="D70" s="78">
        <v>2.5</v>
      </c>
      <c r="E70" s="543" t="s">
        <v>1538</v>
      </c>
      <c r="F70" s="552" t="s">
        <v>246</v>
      </c>
      <c r="G70" s="79" t="s">
        <v>1115</v>
      </c>
      <c r="H70" s="592" t="s">
        <v>251</v>
      </c>
      <c r="I70" s="589">
        <v>40249</v>
      </c>
      <c r="J70" s="589">
        <v>40289</v>
      </c>
      <c r="K70" s="577">
        <v>40380</v>
      </c>
      <c r="L70" s="588">
        <v>26281.200000000001</v>
      </c>
      <c r="M70" s="610">
        <v>25679.040000000001</v>
      </c>
      <c r="N70" s="543">
        <v>100</v>
      </c>
      <c r="O70" s="615" t="s">
        <v>407</v>
      </c>
      <c r="P70" s="603" t="s">
        <v>149</v>
      </c>
      <c r="Q70" s="571" t="s">
        <v>1113</v>
      </c>
      <c r="R70" s="543" t="str">
        <f>R67</f>
        <v>GOG</v>
      </c>
      <c r="S70" s="543">
        <v>1</v>
      </c>
    </row>
    <row r="71" spans="1:19" ht="18.75" customHeight="1" x14ac:dyDescent="0.2">
      <c r="A71" s="659"/>
      <c r="B71" s="613"/>
      <c r="C71" s="140" t="s">
        <v>1117</v>
      </c>
      <c r="D71" s="78">
        <v>13</v>
      </c>
      <c r="E71" s="544"/>
      <c r="F71" s="553"/>
      <c r="G71" s="79" t="s">
        <v>1118</v>
      </c>
      <c r="H71" s="593"/>
      <c r="I71" s="590"/>
      <c r="J71" s="590"/>
      <c r="K71" s="578"/>
      <c r="L71" s="586"/>
      <c r="M71" s="611"/>
      <c r="N71" s="544"/>
      <c r="O71" s="616"/>
      <c r="P71" s="604"/>
      <c r="Q71" s="572"/>
      <c r="R71" s="544"/>
      <c r="S71" s="544"/>
    </row>
    <row r="72" spans="1:19" ht="20.25" customHeight="1" x14ac:dyDescent="0.2">
      <c r="A72" s="659"/>
      <c r="B72" s="559"/>
      <c r="C72" s="140" t="s">
        <v>1116</v>
      </c>
      <c r="D72" s="78">
        <v>4.3</v>
      </c>
      <c r="E72" s="545"/>
      <c r="F72" s="554"/>
      <c r="G72" s="62" t="s">
        <v>2153</v>
      </c>
      <c r="H72" s="594"/>
      <c r="I72" s="590"/>
      <c r="J72" s="590"/>
      <c r="K72" s="578"/>
      <c r="L72" s="587"/>
      <c r="M72" s="612"/>
      <c r="N72" s="544"/>
      <c r="O72" s="617"/>
      <c r="P72" s="604"/>
      <c r="Q72" s="573"/>
      <c r="R72" s="545" t="s">
        <v>150</v>
      </c>
      <c r="S72" s="544"/>
    </row>
    <row r="73" spans="1:19" x14ac:dyDescent="0.2">
      <c r="A73" s="564"/>
      <c r="B73" s="138"/>
      <c r="C73" s="140"/>
      <c r="D73" s="83">
        <f>SUM(D70:D72)</f>
        <v>19.8</v>
      </c>
      <c r="E73" s="16"/>
      <c r="F73" s="24"/>
      <c r="G73" s="63"/>
      <c r="H73" s="161"/>
      <c r="I73" s="81"/>
      <c r="J73" s="81"/>
      <c r="K73" s="82"/>
      <c r="L73" s="165"/>
      <c r="M73" s="153"/>
      <c r="N73" s="153"/>
      <c r="O73" s="140"/>
      <c r="P73" s="140"/>
      <c r="Q73" s="80"/>
      <c r="R73" s="16"/>
      <c r="S73" s="153"/>
    </row>
    <row r="74" spans="1:19" ht="15" customHeight="1" x14ac:dyDescent="0.2">
      <c r="A74" s="563">
        <v>17</v>
      </c>
      <c r="B74" s="558" t="s">
        <v>1137</v>
      </c>
      <c r="C74" s="140" t="s">
        <v>1265</v>
      </c>
      <c r="D74" s="78">
        <v>11</v>
      </c>
      <c r="E74" s="543" t="s">
        <v>1538</v>
      </c>
      <c r="F74" s="552" t="s">
        <v>246</v>
      </c>
      <c r="G74" s="79" t="s">
        <v>2226</v>
      </c>
      <c r="H74" s="592" t="s">
        <v>1059</v>
      </c>
      <c r="I74" s="589">
        <v>40249</v>
      </c>
      <c r="J74" s="589">
        <v>40288</v>
      </c>
      <c r="K74" s="577">
        <v>40410</v>
      </c>
      <c r="L74" s="588">
        <v>32914</v>
      </c>
      <c r="M74" s="588">
        <v>30963.86</v>
      </c>
      <c r="N74" s="543">
        <v>100</v>
      </c>
      <c r="O74" s="580" t="s">
        <v>1192</v>
      </c>
      <c r="P74" s="603" t="s">
        <v>149</v>
      </c>
      <c r="Q74" s="571" t="s">
        <v>1119</v>
      </c>
      <c r="R74" s="543" t="str">
        <f>R70</f>
        <v>GOG</v>
      </c>
      <c r="S74" s="543">
        <v>1</v>
      </c>
    </row>
    <row r="75" spans="1:19" x14ac:dyDescent="0.2">
      <c r="A75" s="659"/>
      <c r="B75" s="613"/>
      <c r="C75" s="140" t="s">
        <v>1266</v>
      </c>
      <c r="D75" s="78">
        <v>2.6</v>
      </c>
      <c r="E75" s="544"/>
      <c r="F75" s="553"/>
      <c r="G75" s="79" t="s">
        <v>1267</v>
      </c>
      <c r="H75" s="593"/>
      <c r="I75" s="590"/>
      <c r="J75" s="590"/>
      <c r="K75" s="578"/>
      <c r="L75" s="586"/>
      <c r="M75" s="586"/>
      <c r="N75" s="544"/>
      <c r="O75" s="581"/>
      <c r="P75" s="604"/>
      <c r="Q75" s="572"/>
      <c r="R75" s="544" t="s">
        <v>150</v>
      </c>
      <c r="S75" s="544"/>
    </row>
    <row r="76" spans="1:19" x14ac:dyDescent="0.2">
      <c r="A76" s="659"/>
      <c r="B76" s="613"/>
      <c r="C76" s="140" t="s">
        <v>1268</v>
      </c>
      <c r="D76" s="78">
        <v>5.8</v>
      </c>
      <c r="E76" s="544"/>
      <c r="F76" s="553"/>
      <c r="G76" s="62" t="s">
        <v>1912</v>
      </c>
      <c r="H76" s="593"/>
      <c r="I76" s="590"/>
      <c r="J76" s="590"/>
      <c r="K76" s="578"/>
      <c r="L76" s="586"/>
      <c r="M76" s="586"/>
      <c r="N76" s="544"/>
      <c r="O76" s="581"/>
      <c r="P76" s="604"/>
      <c r="Q76" s="572"/>
      <c r="R76" s="544" t="s">
        <v>150</v>
      </c>
      <c r="S76" s="544"/>
    </row>
    <row r="77" spans="1:19" x14ac:dyDescent="0.2">
      <c r="A77" s="659"/>
      <c r="B77" s="613"/>
      <c r="C77" s="235" t="s">
        <v>1959</v>
      </c>
      <c r="D77" s="103">
        <v>1</v>
      </c>
      <c r="E77" s="544"/>
      <c r="F77" s="553"/>
      <c r="G77" s="79" t="s">
        <v>1958</v>
      </c>
      <c r="H77" s="593"/>
      <c r="I77" s="590"/>
      <c r="J77" s="590"/>
      <c r="K77" s="578"/>
      <c r="L77" s="586"/>
      <c r="M77" s="586"/>
      <c r="N77" s="544"/>
      <c r="O77" s="581"/>
      <c r="P77" s="604"/>
      <c r="Q77" s="572"/>
      <c r="R77" s="544"/>
      <c r="S77" s="544"/>
    </row>
    <row r="78" spans="1:19" x14ac:dyDescent="0.2">
      <c r="A78" s="659"/>
      <c r="B78" s="559"/>
      <c r="C78" s="140" t="s">
        <v>1269</v>
      </c>
      <c r="D78" s="78">
        <v>1.3</v>
      </c>
      <c r="E78" s="545"/>
      <c r="F78" s="554"/>
      <c r="G78" s="79" t="s">
        <v>1270</v>
      </c>
      <c r="H78" s="594"/>
      <c r="I78" s="591"/>
      <c r="J78" s="591"/>
      <c r="K78" s="579"/>
      <c r="L78" s="587"/>
      <c r="M78" s="587"/>
      <c r="N78" s="545"/>
      <c r="O78" s="605"/>
      <c r="P78" s="675"/>
      <c r="Q78" s="573"/>
      <c r="R78" s="545" t="s">
        <v>150</v>
      </c>
      <c r="S78" s="545"/>
    </row>
    <row r="79" spans="1:19" x14ac:dyDescent="0.2">
      <c r="A79" s="564"/>
      <c r="B79" s="138"/>
      <c r="C79" s="140"/>
      <c r="D79" s="83">
        <f>SUM(D74:D78)</f>
        <v>21.7</v>
      </c>
      <c r="E79" s="16"/>
      <c r="F79" s="24"/>
      <c r="G79" s="63"/>
      <c r="H79" s="161"/>
      <c r="I79" s="81"/>
      <c r="J79" s="81"/>
      <c r="K79" s="82"/>
      <c r="L79" s="165"/>
      <c r="M79" s="153"/>
      <c r="N79" s="153"/>
      <c r="O79" s="140"/>
      <c r="P79" s="140"/>
      <c r="Q79" s="80"/>
      <c r="R79" s="16"/>
      <c r="S79" s="153"/>
    </row>
    <row r="80" spans="1:19" s="105" customFormat="1" ht="135" x14ac:dyDescent="0.2">
      <c r="A80" s="563">
        <v>18</v>
      </c>
      <c r="B80" s="20" t="s">
        <v>2135</v>
      </c>
      <c r="C80" s="20" t="s">
        <v>2134</v>
      </c>
      <c r="D80" s="78">
        <v>4</v>
      </c>
      <c r="E80" s="152" t="s">
        <v>1840</v>
      </c>
      <c r="F80" s="24" t="s">
        <v>246</v>
      </c>
      <c r="G80" s="62" t="s">
        <v>1912</v>
      </c>
      <c r="H80" s="160" t="s">
        <v>1060</v>
      </c>
      <c r="I80" s="104">
        <v>40249</v>
      </c>
      <c r="J80" s="104">
        <v>40273</v>
      </c>
      <c r="K80" s="106">
        <v>40487</v>
      </c>
      <c r="L80" s="167">
        <v>49546.080000000002</v>
      </c>
      <c r="M80" s="167">
        <v>23236.45</v>
      </c>
      <c r="N80" s="152">
        <v>94</v>
      </c>
      <c r="O80" s="352" t="s">
        <v>1398</v>
      </c>
      <c r="P80" s="107" t="s">
        <v>149</v>
      </c>
      <c r="Q80" s="80" t="s">
        <v>256</v>
      </c>
      <c r="R80" s="152" t="str">
        <f>R74</f>
        <v>GOG</v>
      </c>
      <c r="S80" s="152">
        <v>1</v>
      </c>
    </row>
    <row r="81" spans="1:19" ht="12.75" customHeight="1" x14ac:dyDescent="0.2">
      <c r="A81" s="564"/>
      <c r="B81" s="131"/>
      <c r="C81" s="139"/>
      <c r="D81" s="95">
        <f>SUM(D80:D80)</f>
        <v>4</v>
      </c>
      <c r="E81" s="151"/>
      <c r="F81" s="36"/>
      <c r="G81" s="75"/>
      <c r="H81" s="163"/>
      <c r="I81" s="76"/>
      <c r="J81" s="76"/>
      <c r="K81" s="77"/>
      <c r="L81" s="156"/>
      <c r="M81" s="149"/>
      <c r="N81" s="149"/>
      <c r="O81" s="139"/>
      <c r="P81" s="139"/>
      <c r="Q81" s="67"/>
      <c r="R81" s="151"/>
      <c r="S81" s="149"/>
    </row>
    <row r="82" spans="1:19" ht="18.75" customHeight="1" x14ac:dyDescent="0.2">
      <c r="A82" s="659">
        <v>19</v>
      </c>
      <c r="B82" s="613" t="s">
        <v>1961</v>
      </c>
      <c r="C82" s="139" t="s">
        <v>777</v>
      </c>
      <c r="D82" s="78">
        <v>17.8</v>
      </c>
      <c r="E82" s="544" t="s">
        <v>1521</v>
      </c>
      <c r="F82" s="553" t="s">
        <v>246</v>
      </c>
      <c r="G82" s="63" t="s">
        <v>1847</v>
      </c>
      <c r="H82" s="584" t="s">
        <v>1061</v>
      </c>
      <c r="I82" s="589">
        <v>40249</v>
      </c>
      <c r="J82" s="590">
        <v>40275</v>
      </c>
      <c r="K82" s="578">
        <v>40397</v>
      </c>
      <c r="L82" s="586">
        <v>36101</v>
      </c>
      <c r="M82" s="586">
        <v>30494.400000000001</v>
      </c>
      <c r="N82" s="544">
        <v>100</v>
      </c>
      <c r="O82" s="616" t="s">
        <v>616</v>
      </c>
      <c r="P82" s="603" t="s">
        <v>149</v>
      </c>
      <c r="Q82" s="572" t="s">
        <v>257</v>
      </c>
      <c r="R82" s="544" t="str">
        <f>R80</f>
        <v>GOG</v>
      </c>
      <c r="S82" s="544">
        <v>1</v>
      </c>
    </row>
    <row r="83" spans="1:19" ht="18.75" customHeight="1" x14ac:dyDescent="0.2">
      <c r="A83" s="659"/>
      <c r="B83" s="613"/>
      <c r="C83" s="140" t="s">
        <v>778</v>
      </c>
      <c r="D83" s="78">
        <v>2.8</v>
      </c>
      <c r="E83" s="544"/>
      <c r="F83" s="553"/>
      <c r="G83" s="63" t="s">
        <v>801</v>
      </c>
      <c r="H83" s="584"/>
      <c r="I83" s="590"/>
      <c r="J83" s="590"/>
      <c r="K83" s="578"/>
      <c r="L83" s="586"/>
      <c r="M83" s="586"/>
      <c r="N83" s="544"/>
      <c r="O83" s="616"/>
      <c r="P83" s="604"/>
      <c r="Q83" s="572"/>
      <c r="R83" s="544" t="s">
        <v>150</v>
      </c>
      <c r="S83" s="544"/>
    </row>
    <row r="84" spans="1:19" ht="24.75" customHeight="1" x14ac:dyDescent="0.2">
      <c r="A84" s="659"/>
      <c r="B84" s="559"/>
      <c r="C84" s="140" t="s">
        <v>884</v>
      </c>
      <c r="D84" s="78">
        <v>4.0999999999999996</v>
      </c>
      <c r="E84" s="545"/>
      <c r="F84" s="554"/>
      <c r="G84" s="63" t="s">
        <v>802</v>
      </c>
      <c r="H84" s="585"/>
      <c r="I84" s="591"/>
      <c r="J84" s="591"/>
      <c r="K84" s="579"/>
      <c r="L84" s="587"/>
      <c r="M84" s="587"/>
      <c r="N84" s="545"/>
      <c r="O84" s="617"/>
      <c r="P84" s="604"/>
      <c r="Q84" s="573"/>
      <c r="R84" s="545" t="s">
        <v>150</v>
      </c>
      <c r="S84" s="545"/>
    </row>
    <row r="85" spans="1:19" x14ac:dyDescent="0.2">
      <c r="A85" s="564"/>
      <c r="B85" s="138"/>
      <c r="C85" s="140"/>
      <c r="D85" s="83">
        <f>SUM(D82:D84)</f>
        <v>24.700000000000003</v>
      </c>
      <c r="E85" s="16"/>
      <c r="F85" s="24"/>
      <c r="G85" s="63"/>
      <c r="H85" s="161"/>
      <c r="I85" s="81"/>
      <c r="J85" s="81"/>
      <c r="K85" s="82"/>
      <c r="L85" s="165"/>
      <c r="M85" s="153"/>
      <c r="N85" s="153"/>
      <c r="O85" s="140"/>
      <c r="P85" s="140"/>
      <c r="Q85" s="80"/>
      <c r="R85" s="16"/>
      <c r="S85" s="153"/>
    </row>
    <row r="86" spans="1:19" ht="24.75" customHeight="1" x14ac:dyDescent="0.2">
      <c r="A86" s="676">
        <v>20</v>
      </c>
      <c r="B86" s="558" t="s">
        <v>1944</v>
      </c>
      <c r="C86" s="140" t="s">
        <v>803</v>
      </c>
      <c r="D86" s="78">
        <v>7</v>
      </c>
      <c r="E86" s="543" t="s">
        <v>1521</v>
      </c>
      <c r="F86" s="552" t="s">
        <v>246</v>
      </c>
      <c r="G86" s="63" t="s">
        <v>805</v>
      </c>
      <c r="H86" s="606" t="s">
        <v>1062</v>
      </c>
      <c r="I86" s="589">
        <v>40249</v>
      </c>
      <c r="J86" s="589">
        <v>40324</v>
      </c>
      <c r="K86" s="577">
        <v>40416</v>
      </c>
      <c r="L86" s="588">
        <v>23481</v>
      </c>
      <c r="M86" s="588">
        <v>23463.49</v>
      </c>
      <c r="N86" s="544">
        <v>100</v>
      </c>
      <c r="O86" s="581" t="s">
        <v>1402</v>
      </c>
      <c r="P86" s="604" t="s">
        <v>1253</v>
      </c>
      <c r="Q86" s="571" t="s">
        <v>258</v>
      </c>
      <c r="R86" s="543" t="str">
        <f>R82</f>
        <v>GOG</v>
      </c>
      <c r="S86" s="544">
        <v>1</v>
      </c>
    </row>
    <row r="87" spans="1:19" ht="24.75" customHeight="1" x14ac:dyDescent="0.2">
      <c r="A87" s="677"/>
      <c r="B87" s="613"/>
      <c r="C87" s="227" t="s">
        <v>2212</v>
      </c>
      <c r="D87" s="78">
        <v>2.8</v>
      </c>
      <c r="E87" s="544"/>
      <c r="F87" s="553"/>
      <c r="G87" s="63" t="s">
        <v>2213</v>
      </c>
      <c r="H87" s="607"/>
      <c r="I87" s="590"/>
      <c r="J87" s="590"/>
      <c r="K87" s="578"/>
      <c r="L87" s="586"/>
      <c r="M87" s="586"/>
      <c r="N87" s="544"/>
      <c r="O87" s="581"/>
      <c r="P87" s="604"/>
      <c r="Q87" s="572"/>
      <c r="R87" s="544"/>
      <c r="S87" s="544"/>
    </row>
    <row r="88" spans="1:19" ht="24.75" customHeight="1" x14ac:dyDescent="0.2">
      <c r="A88" s="677"/>
      <c r="B88" s="613"/>
      <c r="C88" s="140" t="s">
        <v>804</v>
      </c>
      <c r="D88" s="78">
        <v>6.1</v>
      </c>
      <c r="E88" s="545"/>
      <c r="F88" s="553"/>
      <c r="G88" s="63" t="s">
        <v>806</v>
      </c>
      <c r="H88" s="608"/>
      <c r="I88" s="591"/>
      <c r="J88" s="591"/>
      <c r="K88" s="579"/>
      <c r="L88" s="587"/>
      <c r="M88" s="586"/>
      <c r="N88" s="544"/>
      <c r="O88" s="581"/>
      <c r="P88" s="604"/>
      <c r="Q88" s="572"/>
      <c r="R88" s="545" t="s">
        <v>150</v>
      </c>
      <c r="S88" s="544"/>
    </row>
    <row r="89" spans="1:19" x14ac:dyDescent="0.2">
      <c r="A89" s="678"/>
      <c r="B89" s="179"/>
      <c r="C89" s="141"/>
      <c r="D89" s="95">
        <f>SUM(D86:D88)</f>
        <v>15.9</v>
      </c>
      <c r="E89" s="151"/>
      <c r="F89" s="24"/>
      <c r="G89" s="63"/>
      <c r="H89" s="163"/>
      <c r="I89" s="76"/>
      <c r="J89" s="76"/>
      <c r="K89" s="77"/>
      <c r="L89" s="156"/>
      <c r="M89" s="153"/>
      <c r="N89" s="153"/>
      <c r="O89" s="140"/>
      <c r="P89" s="140"/>
      <c r="Q89" s="80"/>
      <c r="R89" s="151"/>
      <c r="S89" s="153"/>
    </row>
    <row r="90" spans="1:19" s="105" customFormat="1" ht="45" x14ac:dyDescent="0.2">
      <c r="A90" s="659">
        <v>21</v>
      </c>
      <c r="B90" s="131" t="s">
        <v>807</v>
      </c>
      <c r="C90" s="140" t="s">
        <v>808</v>
      </c>
      <c r="D90" s="78">
        <v>30</v>
      </c>
      <c r="E90" s="9" t="s">
        <v>1965</v>
      </c>
      <c r="F90" s="24" t="s">
        <v>246</v>
      </c>
      <c r="G90" s="62" t="s">
        <v>1669</v>
      </c>
      <c r="H90" s="18" t="s">
        <v>1058</v>
      </c>
      <c r="I90" s="104">
        <v>40249</v>
      </c>
      <c r="J90" s="104">
        <v>40281</v>
      </c>
      <c r="K90" s="106">
        <v>40403</v>
      </c>
      <c r="L90" s="156">
        <v>38458</v>
      </c>
      <c r="M90" s="169"/>
      <c r="N90" s="169"/>
      <c r="O90" s="172"/>
      <c r="P90" s="173" t="s">
        <v>1580</v>
      </c>
      <c r="Q90" s="80" t="s">
        <v>226</v>
      </c>
      <c r="R90" s="9" t="str">
        <f>R86</f>
        <v>GOG</v>
      </c>
      <c r="S90" s="169"/>
    </row>
    <row r="91" spans="1:19" ht="12.75" customHeight="1" x14ac:dyDescent="0.2">
      <c r="A91" s="564"/>
      <c r="B91" s="138"/>
      <c r="C91" s="139"/>
      <c r="D91" s="95">
        <f>SUM(D90:D90)</f>
        <v>30</v>
      </c>
      <c r="E91" s="136"/>
      <c r="F91" s="36"/>
      <c r="G91" s="75"/>
      <c r="H91" s="132"/>
      <c r="I91" s="76"/>
      <c r="J91" s="76"/>
      <c r="K91" s="77"/>
      <c r="L91" s="151"/>
      <c r="M91" s="149"/>
      <c r="N91" s="149"/>
      <c r="O91" s="139"/>
      <c r="P91" s="139"/>
      <c r="Q91" s="68"/>
      <c r="R91" s="136"/>
      <c r="S91" s="149"/>
    </row>
    <row r="92" spans="1:19" ht="15" customHeight="1" x14ac:dyDescent="0.2">
      <c r="A92" s="571">
        <v>22</v>
      </c>
      <c r="B92" s="558" t="s">
        <v>254</v>
      </c>
      <c r="C92" s="140" t="s">
        <v>809</v>
      </c>
      <c r="D92" s="78">
        <v>3.1</v>
      </c>
      <c r="E92" s="546" t="s">
        <v>1965</v>
      </c>
      <c r="F92" s="552" t="s">
        <v>246</v>
      </c>
      <c r="G92" s="63" t="s">
        <v>2062</v>
      </c>
      <c r="H92" s="592" t="s">
        <v>1057</v>
      </c>
      <c r="I92" s="589">
        <v>40249</v>
      </c>
      <c r="J92" s="589">
        <v>40304</v>
      </c>
      <c r="K92" s="577">
        <v>40427</v>
      </c>
      <c r="L92" s="588">
        <v>36462</v>
      </c>
      <c r="M92" s="588">
        <v>36438.300000000003</v>
      </c>
      <c r="N92" s="543">
        <v>100</v>
      </c>
      <c r="O92" s="603" t="s">
        <v>675</v>
      </c>
      <c r="P92" s="603"/>
      <c r="Q92" s="571" t="s">
        <v>2081</v>
      </c>
      <c r="R92" s="546" t="str">
        <f>R90</f>
        <v>GOG</v>
      </c>
      <c r="S92" s="543">
        <v>1</v>
      </c>
    </row>
    <row r="93" spans="1:19" x14ac:dyDescent="0.2">
      <c r="A93" s="572"/>
      <c r="B93" s="613"/>
      <c r="C93" s="140" t="s">
        <v>2057</v>
      </c>
      <c r="D93" s="78">
        <v>6.2</v>
      </c>
      <c r="E93" s="547"/>
      <c r="F93" s="553"/>
      <c r="G93" s="63" t="s">
        <v>2077</v>
      </c>
      <c r="H93" s="593"/>
      <c r="I93" s="590"/>
      <c r="J93" s="590"/>
      <c r="K93" s="578"/>
      <c r="L93" s="586"/>
      <c r="M93" s="586"/>
      <c r="N93" s="544"/>
      <c r="O93" s="604"/>
      <c r="P93" s="604"/>
      <c r="Q93" s="572"/>
      <c r="R93" s="547"/>
      <c r="S93" s="544"/>
    </row>
    <row r="94" spans="1:19" x14ac:dyDescent="0.2">
      <c r="A94" s="572"/>
      <c r="B94" s="613"/>
      <c r="C94" s="140" t="s">
        <v>2058</v>
      </c>
      <c r="D94" s="78">
        <v>3</v>
      </c>
      <c r="E94" s="547"/>
      <c r="F94" s="553"/>
      <c r="G94" s="63" t="s">
        <v>2079</v>
      </c>
      <c r="H94" s="593"/>
      <c r="I94" s="590"/>
      <c r="J94" s="590"/>
      <c r="K94" s="578"/>
      <c r="L94" s="586"/>
      <c r="M94" s="586"/>
      <c r="N94" s="544"/>
      <c r="O94" s="604"/>
      <c r="P94" s="604"/>
      <c r="Q94" s="572"/>
      <c r="R94" s="547"/>
      <c r="S94" s="544"/>
    </row>
    <row r="95" spans="1:19" x14ac:dyDescent="0.2">
      <c r="A95" s="572"/>
      <c r="B95" s="613"/>
      <c r="C95" s="140" t="s">
        <v>2061</v>
      </c>
      <c r="D95" s="78">
        <v>3</v>
      </c>
      <c r="E95" s="547"/>
      <c r="F95" s="553"/>
      <c r="G95" s="63" t="s">
        <v>2080</v>
      </c>
      <c r="H95" s="593"/>
      <c r="I95" s="590"/>
      <c r="J95" s="590"/>
      <c r="K95" s="578"/>
      <c r="L95" s="586"/>
      <c r="M95" s="586"/>
      <c r="N95" s="544"/>
      <c r="O95" s="604"/>
      <c r="P95" s="604"/>
      <c r="Q95" s="572"/>
      <c r="R95" s="547"/>
      <c r="S95" s="544"/>
    </row>
    <row r="96" spans="1:19" x14ac:dyDescent="0.2">
      <c r="A96" s="572"/>
      <c r="B96" s="613"/>
      <c r="C96" s="140" t="s">
        <v>2059</v>
      </c>
      <c r="D96" s="78">
        <v>4</v>
      </c>
      <c r="E96" s="547"/>
      <c r="F96" s="553"/>
      <c r="G96" s="62" t="s">
        <v>1912</v>
      </c>
      <c r="H96" s="593"/>
      <c r="I96" s="590"/>
      <c r="J96" s="590"/>
      <c r="K96" s="578"/>
      <c r="L96" s="586"/>
      <c r="M96" s="586"/>
      <c r="N96" s="544"/>
      <c r="O96" s="604"/>
      <c r="P96" s="604"/>
      <c r="Q96" s="572"/>
      <c r="R96" s="547"/>
      <c r="S96" s="544"/>
    </row>
    <row r="97" spans="1:19" x14ac:dyDescent="0.2">
      <c r="A97" s="572"/>
      <c r="B97" s="559"/>
      <c r="C97" s="142" t="s">
        <v>2060</v>
      </c>
      <c r="D97" s="87">
        <v>3</v>
      </c>
      <c r="E97" s="548"/>
      <c r="F97" s="554"/>
      <c r="G97" s="63" t="s">
        <v>2078</v>
      </c>
      <c r="H97" s="594"/>
      <c r="I97" s="590"/>
      <c r="J97" s="591"/>
      <c r="K97" s="579"/>
      <c r="L97" s="586"/>
      <c r="M97" s="586"/>
      <c r="N97" s="544"/>
      <c r="O97" s="679"/>
      <c r="P97" s="679"/>
      <c r="Q97" s="573"/>
      <c r="R97" s="548" t="s">
        <v>271</v>
      </c>
      <c r="S97" s="544"/>
    </row>
    <row r="98" spans="1:19" ht="14.25" customHeight="1" x14ac:dyDescent="0.2">
      <c r="A98" s="573"/>
      <c r="B98" s="138"/>
      <c r="C98" s="142"/>
      <c r="D98" s="83">
        <f>SUM(D92:D97)</f>
        <v>22.3</v>
      </c>
      <c r="E98" s="136"/>
      <c r="F98" s="24"/>
      <c r="G98" s="62"/>
      <c r="H98" s="36"/>
      <c r="I98" s="81"/>
      <c r="J98" s="81"/>
      <c r="K98" s="82"/>
      <c r="L98" s="152"/>
      <c r="M98" s="153"/>
      <c r="N98" s="153"/>
      <c r="O98" s="140"/>
      <c r="P98" s="140"/>
      <c r="Q98" s="67"/>
      <c r="R98" s="136"/>
      <c r="S98" s="153"/>
    </row>
    <row r="99" spans="1:19" ht="12.75" customHeight="1" x14ac:dyDescent="0.2">
      <c r="A99" s="563">
        <v>23</v>
      </c>
      <c r="B99" s="558" t="s">
        <v>255</v>
      </c>
      <c r="C99" s="140" t="s">
        <v>521</v>
      </c>
      <c r="D99" s="78">
        <v>13.5</v>
      </c>
      <c r="E99" s="546" t="s">
        <v>1965</v>
      </c>
      <c r="F99" s="552" t="s">
        <v>246</v>
      </c>
      <c r="G99" s="62" t="s">
        <v>1912</v>
      </c>
      <c r="H99" s="552" t="s">
        <v>1063</v>
      </c>
      <c r="I99" s="589">
        <v>40249</v>
      </c>
      <c r="J99" s="589">
        <v>40281</v>
      </c>
      <c r="K99" s="577">
        <v>40403</v>
      </c>
      <c r="L99" s="588">
        <v>50136</v>
      </c>
      <c r="M99" s="610">
        <v>50134</v>
      </c>
      <c r="N99" s="543">
        <v>100</v>
      </c>
      <c r="O99" s="555" t="s">
        <v>1274</v>
      </c>
      <c r="P99" s="603" t="s">
        <v>149</v>
      </c>
      <c r="Q99" s="572" t="s">
        <v>2225</v>
      </c>
      <c r="R99" s="546" t="s">
        <v>271</v>
      </c>
      <c r="S99" s="543">
        <v>1</v>
      </c>
    </row>
    <row r="100" spans="1:19" ht="12.75" customHeight="1" x14ac:dyDescent="0.2">
      <c r="A100" s="659"/>
      <c r="B100" s="613"/>
      <c r="C100" s="140" t="s">
        <v>522</v>
      </c>
      <c r="D100" s="78">
        <v>3.9</v>
      </c>
      <c r="E100" s="547"/>
      <c r="F100" s="553"/>
      <c r="G100" s="62" t="s">
        <v>618</v>
      </c>
      <c r="H100" s="553"/>
      <c r="I100" s="590"/>
      <c r="J100" s="590"/>
      <c r="K100" s="578"/>
      <c r="L100" s="586"/>
      <c r="M100" s="611"/>
      <c r="N100" s="544"/>
      <c r="O100" s="556"/>
      <c r="P100" s="604"/>
      <c r="Q100" s="572"/>
      <c r="R100" s="547"/>
      <c r="S100" s="544"/>
    </row>
    <row r="101" spans="1:19" ht="15" customHeight="1" x14ac:dyDescent="0.2">
      <c r="A101" s="659"/>
      <c r="B101" s="613"/>
      <c r="C101" s="140" t="s">
        <v>523</v>
      </c>
      <c r="D101" s="78">
        <v>3</v>
      </c>
      <c r="E101" s="547"/>
      <c r="F101" s="553"/>
      <c r="G101" s="63" t="s">
        <v>1483</v>
      </c>
      <c r="H101" s="553"/>
      <c r="I101" s="590"/>
      <c r="J101" s="590"/>
      <c r="K101" s="578"/>
      <c r="L101" s="586"/>
      <c r="M101" s="611"/>
      <c r="N101" s="544"/>
      <c r="O101" s="556"/>
      <c r="P101" s="604"/>
      <c r="Q101" s="572"/>
      <c r="R101" s="547"/>
      <c r="S101" s="544"/>
    </row>
    <row r="102" spans="1:19" ht="12.75" customHeight="1" x14ac:dyDescent="0.2">
      <c r="A102" s="659"/>
      <c r="B102" s="613"/>
      <c r="C102" s="140" t="s">
        <v>524</v>
      </c>
      <c r="D102" s="78">
        <v>3.5</v>
      </c>
      <c r="E102" s="547"/>
      <c r="F102" s="553"/>
      <c r="G102" s="62" t="s">
        <v>619</v>
      </c>
      <c r="H102" s="553"/>
      <c r="I102" s="590"/>
      <c r="J102" s="590"/>
      <c r="K102" s="578"/>
      <c r="L102" s="586"/>
      <c r="M102" s="611"/>
      <c r="N102" s="544"/>
      <c r="O102" s="556"/>
      <c r="P102" s="604"/>
      <c r="Q102" s="572"/>
      <c r="R102" s="547"/>
      <c r="S102" s="544"/>
    </row>
    <row r="103" spans="1:19" ht="12.75" customHeight="1" x14ac:dyDescent="0.2">
      <c r="A103" s="659"/>
      <c r="B103" s="613"/>
      <c r="C103" s="227" t="s">
        <v>1544</v>
      </c>
      <c r="D103" s="78">
        <v>2.6</v>
      </c>
      <c r="E103" s="547"/>
      <c r="F103" s="553"/>
      <c r="G103" s="62" t="s">
        <v>1891</v>
      </c>
      <c r="H103" s="553"/>
      <c r="I103" s="590"/>
      <c r="J103" s="590"/>
      <c r="K103" s="578"/>
      <c r="L103" s="586"/>
      <c r="M103" s="611"/>
      <c r="N103" s="544"/>
      <c r="O103" s="556"/>
      <c r="P103" s="604"/>
      <c r="Q103" s="572"/>
      <c r="R103" s="547"/>
      <c r="S103" s="544"/>
    </row>
    <row r="104" spans="1:19" ht="12.75" customHeight="1" x14ac:dyDescent="0.2">
      <c r="A104" s="659"/>
      <c r="B104" s="559"/>
      <c r="C104" s="140" t="s">
        <v>525</v>
      </c>
      <c r="D104" s="78">
        <v>3</v>
      </c>
      <c r="E104" s="548"/>
      <c r="F104" s="554"/>
      <c r="G104" s="63" t="s">
        <v>1484</v>
      </c>
      <c r="H104" s="554"/>
      <c r="I104" s="591"/>
      <c r="J104" s="591"/>
      <c r="K104" s="579"/>
      <c r="L104" s="587"/>
      <c r="M104" s="612"/>
      <c r="N104" s="545"/>
      <c r="O104" s="557"/>
      <c r="P104" s="675"/>
      <c r="Q104" s="573"/>
      <c r="R104" s="548"/>
      <c r="S104" s="545"/>
    </row>
    <row r="105" spans="1:19" x14ac:dyDescent="0.2">
      <c r="A105" s="564"/>
      <c r="B105" s="138"/>
      <c r="C105" s="140"/>
      <c r="D105" s="83">
        <f>SUM(D99:D104)</f>
        <v>29.5</v>
      </c>
      <c r="E105" s="136"/>
      <c r="F105" s="24"/>
      <c r="G105" s="63"/>
      <c r="H105" s="132"/>
      <c r="I105" s="81"/>
      <c r="J105" s="81"/>
      <c r="K105" s="82"/>
      <c r="L105" s="152"/>
      <c r="M105" s="153"/>
      <c r="N105" s="153"/>
      <c r="O105" s="140"/>
      <c r="P105" s="140"/>
      <c r="Q105" s="80"/>
      <c r="R105" s="136"/>
      <c r="S105" s="153"/>
    </row>
    <row r="106" spans="1:19" s="105" customFormat="1" ht="45" x14ac:dyDescent="0.2">
      <c r="A106" s="571"/>
      <c r="B106" s="20" t="s">
        <v>1929</v>
      </c>
      <c r="C106" s="140" t="s">
        <v>1929</v>
      </c>
      <c r="D106" s="78">
        <v>14.5</v>
      </c>
      <c r="E106" s="9" t="s">
        <v>533</v>
      </c>
      <c r="F106" s="24" t="s">
        <v>246</v>
      </c>
      <c r="G106" s="79" t="s">
        <v>2017</v>
      </c>
      <c r="H106" s="21" t="s">
        <v>1029</v>
      </c>
      <c r="I106" s="104">
        <v>40456</v>
      </c>
      <c r="J106" s="104">
        <v>40518</v>
      </c>
      <c r="K106" s="106">
        <v>40639</v>
      </c>
      <c r="L106" s="167">
        <v>30127.200000000001</v>
      </c>
      <c r="M106" s="167">
        <v>26203.78</v>
      </c>
      <c r="N106" s="238">
        <v>100</v>
      </c>
      <c r="O106" s="237" t="s">
        <v>327</v>
      </c>
      <c r="P106" s="20"/>
      <c r="Q106" s="80"/>
      <c r="R106" s="9" t="s">
        <v>271</v>
      </c>
      <c r="S106" s="167"/>
    </row>
    <row r="107" spans="1:19" x14ac:dyDescent="0.2">
      <c r="A107" s="573"/>
      <c r="B107" s="138"/>
      <c r="C107" s="139"/>
      <c r="D107" s="83">
        <f>SUM(D106)</f>
        <v>14.5</v>
      </c>
      <c r="E107" s="136"/>
      <c r="F107" s="36"/>
      <c r="G107" s="75"/>
      <c r="H107" s="36"/>
      <c r="I107" s="76"/>
      <c r="J107" s="76"/>
      <c r="K107" s="77"/>
      <c r="L107" s="151"/>
      <c r="M107" s="165"/>
      <c r="N107" s="165"/>
      <c r="O107" s="161"/>
      <c r="P107" s="161"/>
      <c r="Q107" s="67"/>
      <c r="R107" s="136"/>
      <c r="S107" s="165"/>
    </row>
    <row r="108" spans="1:19" ht="12.75" customHeight="1" x14ac:dyDescent="0.2">
      <c r="A108" s="571"/>
      <c r="B108" s="558" t="s">
        <v>1952</v>
      </c>
      <c r="C108" s="227" t="s">
        <v>1208</v>
      </c>
      <c r="D108" s="78">
        <v>2.8</v>
      </c>
      <c r="E108" s="546" t="s">
        <v>947</v>
      </c>
      <c r="F108" s="552" t="s">
        <v>246</v>
      </c>
      <c r="G108" s="7" t="s">
        <v>1848</v>
      </c>
      <c r="H108" s="549" t="s">
        <v>713</v>
      </c>
      <c r="I108" s="589">
        <v>40456</v>
      </c>
      <c r="J108" s="589">
        <v>40494</v>
      </c>
      <c r="K108" s="577">
        <v>40614</v>
      </c>
      <c r="L108" s="588">
        <v>45846.239999999998</v>
      </c>
      <c r="M108" s="610">
        <v>43041.82</v>
      </c>
      <c r="N108" s="543">
        <v>100</v>
      </c>
      <c r="O108" s="558" t="s">
        <v>164</v>
      </c>
      <c r="P108" s="558"/>
      <c r="Q108" s="572"/>
      <c r="R108" s="546" t="s">
        <v>271</v>
      </c>
      <c r="S108" s="543">
        <v>1</v>
      </c>
    </row>
    <row r="109" spans="1:19" ht="12.75" customHeight="1" x14ac:dyDescent="0.2">
      <c r="A109" s="572"/>
      <c r="B109" s="613"/>
      <c r="C109" s="230" t="s">
        <v>1952</v>
      </c>
      <c r="D109" s="78">
        <v>3</v>
      </c>
      <c r="E109" s="547"/>
      <c r="F109" s="553"/>
      <c r="G109" s="79" t="s">
        <v>2023</v>
      </c>
      <c r="H109" s="550"/>
      <c r="I109" s="590"/>
      <c r="J109" s="590"/>
      <c r="K109" s="578"/>
      <c r="L109" s="586"/>
      <c r="M109" s="611"/>
      <c r="N109" s="544"/>
      <c r="O109" s="613"/>
      <c r="P109" s="613"/>
      <c r="Q109" s="572"/>
      <c r="R109" s="547"/>
      <c r="S109" s="544"/>
    </row>
    <row r="110" spans="1:19" ht="12.75" customHeight="1" x14ac:dyDescent="0.2">
      <c r="A110" s="572"/>
      <c r="B110" s="613"/>
      <c r="C110" s="140" t="s">
        <v>687</v>
      </c>
      <c r="D110" s="78">
        <v>5.7</v>
      </c>
      <c r="E110" s="547"/>
      <c r="F110" s="553"/>
      <c r="G110" s="7" t="s">
        <v>1849</v>
      </c>
      <c r="H110" s="550"/>
      <c r="I110" s="590"/>
      <c r="J110" s="590"/>
      <c r="K110" s="578"/>
      <c r="L110" s="586"/>
      <c r="M110" s="611"/>
      <c r="N110" s="544"/>
      <c r="O110" s="613"/>
      <c r="P110" s="613"/>
      <c r="Q110" s="572"/>
      <c r="R110" s="547"/>
      <c r="S110" s="544"/>
    </row>
    <row r="111" spans="1:19" ht="12.75" customHeight="1" x14ac:dyDescent="0.2">
      <c r="A111" s="572"/>
      <c r="B111" s="613"/>
      <c r="C111" s="140" t="s">
        <v>1010</v>
      </c>
      <c r="D111" s="78">
        <v>4.2</v>
      </c>
      <c r="E111" s="547"/>
      <c r="F111" s="553"/>
      <c r="G111" s="62" t="s">
        <v>1912</v>
      </c>
      <c r="H111" s="550"/>
      <c r="I111" s="590"/>
      <c r="J111" s="590"/>
      <c r="K111" s="578"/>
      <c r="L111" s="586"/>
      <c r="M111" s="611"/>
      <c r="N111" s="544"/>
      <c r="O111" s="613"/>
      <c r="P111" s="613"/>
      <c r="Q111" s="572"/>
      <c r="R111" s="547"/>
      <c r="S111" s="544"/>
    </row>
    <row r="112" spans="1:19" ht="12.75" customHeight="1" x14ac:dyDescent="0.2">
      <c r="A112" s="572"/>
      <c r="B112" s="559"/>
      <c r="C112" s="140" t="s">
        <v>1011</v>
      </c>
      <c r="D112" s="78">
        <v>8</v>
      </c>
      <c r="E112" s="548"/>
      <c r="F112" s="554"/>
      <c r="G112" s="63" t="s">
        <v>849</v>
      </c>
      <c r="H112" s="551"/>
      <c r="I112" s="590"/>
      <c r="J112" s="590"/>
      <c r="K112" s="578"/>
      <c r="L112" s="587"/>
      <c r="M112" s="612"/>
      <c r="N112" s="545"/>
      <c r="O112" s="559"/>
      <c r="P112" s="559"/>
      <c r="Q112" s="573"/>
      <c r="R112" s="548"/>
      <c r="S112" s="545"/>
    </row>
    <row r="113" spans="1:19" ht="12.75" customHeight="1" x14ac:dyDescent="0.2">
      <c r="A113" s="573"/>
      <c r="B113" s="131"/>
      <c r="C113" s="140"/>
      <c r="D113" s="83">
        <f>SUM(D108:D112)</f>
        <v>23.7</v>
      </c>
      <c r="E113" s="12"/>
      <c r="F113" s="24"/>
      <c r="G113" s="63"/>
      <c r="H113" s="36"/>
      <c r="I113" s="81"/>
      <c r="J113" s="81"/>
      <c r="K113" s="82"/>
      <c r="L113" s="152"/>
      <c r="M113" s="153"/>
      <c r="N113" s="153"/>
      <c r="O113" s="140"/>
      <c r="P113" s="140"/>
      <c r="Q113" s="80"/>
      <c r="R113" s="12"/>
      <c r="S113" s="153"/>
    </row>
    <row r="114" spans="1:19" ht="16.5" customHeight="1" x14ac:dyDescent="0.2">
      <c r="A114" s="571"/>
      <c r="B114" s="558" t="s">
        <v>1950</v>
      </c>
      <c r="C114" s="140" t="s">
        <v>1950</v>
      </c>
      <c r="D114" s="78">
        <v>7.2</v>
      </c>
      <c r="E114" s="546" t="s">
        <v>1538</v>
      </c>
      <c r="F114" s="552" t="s">
        <v>246</v>
      </c>
      <c r="G114" s="63" t="s">
        <v>1850</v>
      </c>
      <c r="H114" s="552" t="s">
        <v>714</v>
      </c>
      <c r="I114" s="589">
        <v>40456</v>
      </c>
      <c r="J114" s="589">
        <v>40581</v>
      </c>
      <c r="K114" s="577">
        <v>40701</v>
      </c>
      <c r="L114" s="588">
        <v>45820.4</v>
      </c>
      <c r="M114" s="588">
        <v>42959.3</v>
      </c>
      <c r="N114" s="543">
        <v>100</v>
      </c>
      <c r="O114" s="558" t="s">
        <v>981</v>
      </c>
      <c r="P114" s="558"/>
      <c r="Q114" s="571"/>
      <c r="R114" s="546" t="s">
        <v>271</v>
      </c>
      <c r="S114" s="543"/>
    </row>
    <row r="115" spans="1:19" ht="16.5" customHeight="1" x14ac:dyDescent="0.2">
      <c r="A115" s="572"/>
      <c r="B115" s="613"/>
      <c r="C115" s="232" t="s">
        <v>982</v>
      </c>
      <c r="D115" s="91">
        <v>1</v>
      </c>
      <c r="E115" s="547"/>
      <c r="F115" s="553"/>
      <c r="G115" s="102"/>
      <c r="H115" s="553"/>
      <c r="I115" s="590"/>
      <c r="J115" s="590"/>
      <c r="K115" s="578"/>
      <c r="L115" s="586"/>
      <c r="M115" s="586"/>
      <c r="N115" s="544"/>
      <c r="O115" s="613"/>
      <c r="P115" s="613"/>
      <c r="Q115" s="572"/>
      <c r="R115" s="547"/>
      <c r="S115" s="544"/>
    </row>
    <row r="116" spans="1:19" ht="16.5" customHeight="1" x14ac:dyDescent="0.2">
      <c r="A116" s="572"/>
      <c r="B116" s="613"/>
      <c r="C116" s="232" t="s">
        <v>983</v>
      </c>
      <c r="D116" s="91">
        <v>2.1</v>
      </c>
      <c r="E116" s="547"/>
      <c r="F116" s="553"/>
      <c r="G116" s="102"/>
      <c r="H116" s="553"/>
      <c r="I116" s="590"/>
      <c r="J116" s="590"/>
      <c r="K116" s="578"/>
      <c r="L116" s="586"/>
      <c r="M116" s="586"/>
      <c r="N116" s="544"/>
      <c r="O116" s="613"/>
      <c r="P116" s="613"/>
      <c r="Q116" s="572"/>
      <c r="R116" s="547"/>
      <c r="S116" s="544"/>
    </row>
    <row r="117" spans="1:19" ht="16.5" customHeight="1" x14ac:dyDescent="0.2">
      <c r="A117" s="572"/>
      <c r="B117" s="613"/>
      <c r="C117" s="232" t="s">
        <v>984</v>
      </c>
      <c r="D117" s="91">
        <v>0.5</v>
      </c>
      <c r="E117" s="547"/>
      <c r="F117" s="553"/>
      <c r="G117" s="102"/>
      <c r="H117" s="553"/>
      <c r="I117" s="590"/>
      <c r="J117" s="590"/>
      <c r="K117" s="578"/>
      <c r="L117" s="586"/>
      <c r="M117" s="586"/>
      <c r="N117" s="544"/>
      <c r="O117" s="613"/>
      <c r="P117" s="613"/>
      <c r="Q117" s="572"/>
      <c r="R117" s="547"/>
      <c r="S117" s="544"/>
    </row>
    <row r="118" spans="1:19" ht="15" customHeight="1" x14ac:dyDescent="0.2">
      <c r="A118" s="572"/>
      <c r="B118" s="613"/>
      <c r="C118" s="143" t="s">
        <v>1012</v>
      </c>
      <c r="D118" s="91">
        <v>7.5</v>
      </c>
      <c r="E118" s="547"/>
      <c r="F118" s="553"/>
      <c r="G118" s="102" t="s">
        <v>1851</v>
      </c>
      <c r="H118" s="553"/>
      <c r="I118" s="590"/>
      <c r="J118" s="590"/>
      <c r="K118" s="578"/>
      <c r="L118" s="586"/>
      <c r="M118" s="586"/>
      <c r="N118" s="544"/>
      <c r="O118" s="613"/>
      <c r="P118" s="613"/>
      <c r="Q118" s="572"/>
      <c r="R118" s="547"/>
      <c r="S118" s="544"/>
    </row>
    <row r="119" spans="1:19" s="117" customFormat="1" ht="15" customHeight="1" x14ac:dyDescent="0.2">
      <c r="A119" s="572"/>
      <c r="B119" s="559"/>
      <c r="C119" s="140" t="s">
        <v>516</v>
      </c>
      <c r="D119" s="78">
        <v>9.5</v>
      </c>
      <c r="E119" s="548"/>
      <c r="F119" s="554"/>
      <c r="G119" s="63" t="s">
        <v>1852</v>
      </c>
      <c r="H119" s="554"/>
      <c r="I119" s="591"/>
      <c r="J119" s="591"/>
      <c r="K119" s="579"/>
      <c r="L119" s="587"/>
      <c r="M119" s="587"/>
      <c r="N119" s="545"/>
      <c r="O119" s="559"/>
      <c r="P119" s="559"/>
      <c r="Q119" s="573"/>
      <c r="R119" s="548"/>
      <c r="S119" s="545"/>
    </row>
    <row r="120" spans="1:19" x14ac:dyDescent="0.2">
      <c r="A120" s="573"/>
      <c r="B120" s="131"/>
      <c r="C120" s="139"/>
      <c r="D120" s="95">
        <f>SUM(D114:D119)</f>
        <v>27.799999999999997</v>
      </c>
      <c r="E120" s="12"/>
      <c r="F120" s="36"/>
      <c r="G120" s="75"/>
      <c r="H120" s="36"/>
      <c r="I120" s="76"/>
      <c r="J120" s="76"/>
      <c r="K120" s="77"/>
      <c r="L120" s="151"/>
      <c r="M120" s="149"/>
      <c r="N120" s="149"/>
      <c r="O120" s="139"/>
      <c r="P120" s="139"/>
      <c r="Q120" s="67"/>
      <c r="R120" s="12"/>
      <c r="S120" s="149"/>
    </row>
    <row r="121" spans="1:19" s="105" customFormat="1" ht="45" x14ac:dyDescent="0.2">
      <c r="A121" s="572"/>
      <c r="B121" s="131" t="s">
        <v>1913</v>
      </c>
      <c r="C121" s="144" t="s">
        <v>1913</v>
      </c>
      <c r="D121" s="78">
        <v>16</v>
      </c>
      <c r="E121" s="9" t="s">
        <v>902</v>
      </c>
      <c r="F121" s="36" t="s">
        <v>246</v>
      </c>
      <c r="G121" s="63" t="s">
        <v>1853</v>
      </c>
      <c r="H121" s="24" t="s">
        <v>903</v>
      </c>
      <c r="I121" s="72">
        <v>40456</v>
      </c>
      <c r="J121" s="72">
        <v>40488</v>
      </c>
      <c r="K121" s="85">
        <v>40607</v>
      </c>
      <c r="L121" s="156">
        <v>31855.200000000001</v>
      </c>
      <c r="M121" s="156">
        <v>28037.35</v>
      </c>
      <c r="N121" s="151">
        <v>100</v>
      </c>
      <c r="O121" s="116" t="s">
        <v>904</v>
      </c>
      <c r="P121" s="36" t="s">
        <v>149</v>
      </c>
      <c r="Q121" s="67" t="s">
        <v>1914</v>
      </c>
      <c r="R121" s="9" t="s">
        <v>271</v>
      </c>
      <c r="S121" s="151">
        <v>1</v>
      </c>
    </row>
    <row r="122" spans="1:19" x14ac:dyDescent="0.2">
      <c r="A122" s="573"/>
      <c r="B122" s="138"/>
      <c r="C122" s="139"/>
      <c r="D122" s="95">
        <f>SUM(D121:D121)</f>
        <v>16</v>
      </c>
      <c r="E122" s="136"/>
      <c r="F122" s="36"/>
      <c r="G122" s="75"/>
      <c r="H122" s="132"/>
      <c r="I122" s="76"/>
      <c r="J122" s="76"/>
      <c r="K122" s="77"/>
      <c r="L122" s="151"/>
      <c r="M122" s="149"/>
      <c r="N122" s="149"/>
      <c r="O122" s="139"/>
      <c r="P122" s="139"/>
      <c r="Q122" s="67"/>
      <c r="R122" s="136"/>
      <c r="S122" s="149"/>
    </row>
    <row r="123" spans="1:19" x14ac:dyDescent="0.2">
      <c r="A123" s="571"/>
      <c r="B123" s="558" t="s">
        <v>1581</v>
      </c>
      <c r="C123" s="140" t="s">
        <v>1581</v>
      </c>
      <c r="D123" s="90">
        <v>12.6</v>
      </c>
      <c r="E123" s="546" t="s">
        <v>841</v>
      </c>
      <c r="F123" s="552" t="s">
        <v>246</v>
      </c>
      <c r="G123" s="63" t="s">
        <v>1854</v>
      </c>
      <c r="H123" s="552" t="s">
        <v>715</v>
      </c>
      <c r="I123" s="589">
        <v>40456</v>
      </c>
      <c r="J123" s="589">
        <v>40519</v>
      </c>
      <c r="K123" s="577">
        <v>40640</v>
      </c>
      <c r="L123" s="588">
        <v>40663.440000000002</v>
      </c>
      <c r="M123" s="588">
        <v>33250.39</v>
      </c>
      <c r="N123" s="600">
        <v>100</v>
      </c>
      <c r="O123" s="615" t="s">
        <v>12</v>
      </c>
      <c r="P123" s="580"/>
      <c r="Q123" s="571"/>
      <c r="R123" s="546" t="s">
        <v>271</v>
      </c>
      <c r="S123" s="600"/>
    </row>
    <row r="124" spans="1:19" x14ac:dyDescent="0.2">
      <c r="A124" s="572"/>
      <c r="B124" s="613"/>
      <c r="C124" s="140" t="s">
        <v>873</v>
      </c>
      <c r="D124" s="78">
        <v>4.05</v>
      </c>
      <c r="E124" s="547"/>
      <c r="F124" s="553"/>
      <c r="G124" s="63" t="s">
        <v>1095</v>
      </c>
      <c r="H124" s="553"/>
      <c r="I124" s="590"/>
      <c r="J124" s="590"/>
      <c r="K124" s="578"/>
      <c r="L124" s="586"/>
      <c r="M124" s="586"/>
      <c r="N124" s="601"/>
      <c r="O124" s="616"/>
      <c r="P124" s="581"/>
      <c r="Q124" s="572"/>
      <c r="R124" s="547"/>
      <c r="S124" s="601"/>
    </row>
    <row r="125" spans="1:19" x14ac:dyDescent="0.2">
      <c r="A125" s="572"/>
      <c r="B125" s="559"/>
      <c r="C125" s="140" t="s">
        <v>882</v>
      </c>
      <c r="D125" s="91">
        <v>2</v>
      </c>
      <c r="E125" s="548"/>
      <c r="F125" s="554"/>
      <c r="G125" s="63" t="s">
        <v>1096</v>
      </c>
      <c r="H125" s="554"/>
      <c r="I125" s="591"/>
      <c r="J125" s="591"/>
      <c r="K125" s="579"/>
      <c r="L125" s="586"/>
      <c r="M125" s="586"/>
      <c r="N125" s="601"/>
      <c r="O125" s="616"/>
      <c r="P125" s="581"/>
      <c r="Q125" s="573"/>
      <c r="R125" s="548"/>
      <c r="S125" s="601"/>
    </row>
    <row r="126" spans="1:19" x14ac:dyDescent="0.2">
      <c r="A126" s="573"/>
      <c r="B126" s="20"/>
      <c r="C126" s="140"/>
      <c r="D126" s="95">
        <f>SUM(D123:D125)</f>
        <v>18.649999999999999</v>
      </c>
      <c r="E126" s="136"/>
      <c r="F126" s="24"/>
      <c r="G126" s="63"/>
      <c r="H126" s="132"/>
      <c r="I126" s="92"/>
      <c r="J126" s="92"/>
      <c r="K126" s="93"/>
      <c r="L126" s="152"/>
      <c r="M126" s="153"/>
      <c r="N126" s="153"/>
      <c r="O126" s="140"/>
      <c r="P126" s="140"/>
      <c r="Q126" s="80"/>
      <c r="R126" s="136"/>
      <c r="S126" s="153"/>
    </row>
    <row r="127" spans="1:19" x14ac:dyDescent="0.2">
      <c r="A127" s="571"/>
      <c r="B127" s="558" t="s">
        <v>1582</v>
      </c>
      <c r="C127" s="140" t="s">
        <v>1582</v>
      </c>
      <c r="D127" s="90">
        <v>4.4000000000000004</v>
      </c>
      <c r="E127" s="543" t="s">
        <v>841</v>
      </c>
      <c r="F127" s="552" t="s">
        <v>246</v>
      </c>
      <c r="G127" s="63" t="s">
        <v>1097</v>
      </c>
      <c r="H127" s="549" t="s">
        <v>2120</v>
      </c>
      <c r="I127" s="589">
        <v>40456</v>
      </c>
      <c r="J127" s="589">
        <v>40560</v>
      </c>
      <c r="K127" s="577">
        <v>40649</v>
      </c>
      <c r="L127" s="588">
        <v>26312.880000000001</v>
      </c>
      <c r="M127" s="588">
        <v>17776.82</v>
      </c>
      <c r="N127" s="600">
        <v>100</v>
      </c>
      <c r="O127" s="580" t="s">
        <v>592</v>
      </c>
      <c r="P127" s="580"/>
      <c r="Q127" s="571"/>
      <c r="R127" s="543" t="s">
        <v>271</v>
      </c>
      <c r="S127" s="600">
        <v>1</v>
      </c>
    </row>
    <row r="128" spans="1:19" x14ac:dyDescent="0.2">
      <c r="A128" s="572"/>
      <c r="B128" s="613"/>
      <c r="C128" s="140" t="s">
        <v>883</v>
      </c>
      <c r="D128" s="78">
        <v>3.5</v>
      </c>
      <c r="E128" s="544"/>
      <c r="F128" s="553"/>
      <c r="G128" s="63" t="s">
        <v>439</v>
      </c>
      <c r="H128" s="550"/>
      <c r="I128" s="590"/>
      <c r="J128" s="590"/>
      <c r="K128" s="578"/>
      <c r="L128" s="586"/>
      <c r="M128" s="586"/>
      <c r="N128" s="601"/>
      <c r="O128" s="581"/>
      <c r="P128" s="581"/>
      <c r="Q128" s="572"/>
      <c r="R128" s="544"/>
      <c r="S128" s="601"/>
    </row>
    <row r="129" spans="1:19" x14ac:dyDescent="0.2">
      <c r="A129" s="572"/>
      <c r="B129" s="613"/>
      <c r="C129" s="140" t="s">
        <v>637</v>
      </c>
      <c r="D129" s="78">
        <v>1.5</v>
      </c>
      <c r="E129" s="544"/>
      <c r="F129" s="553"/>
      <c r="G129" s="63" t="s">
        <v>440</v>
      </c>
      <c r="H129" s="550"/>
      <c r="I129" s="590"/>
      <c r="J129" s="590"/>
      <c r="K129" s="578"/>
      <c r="L129" s="586"/>
      <c r="M129" s="586"/>
      <c r="N129" s="601"/>
      <c r="O129" s="581"/>
      <c r="P129" s="581"/>
      <c r="Q129" s="572"/>
      <c r="R129" s="544"/>
      <c r="S129" s="601"/>
    </row>
    <row r="130" spans="1:19" x14ac:dyDescent="0.2">
      <c r="A130" s="572"/>
      <c r="B130" s="559"/>
      <c r="C130" s="140" t="s">
        <v>2170</v>
      </c>
      <c r="D130" s="78">
        <v>3</v>
      </c>
      <c r="E130" s="545"/>
      <c r="F130" s="554"/>
      <c r="G130" s="63" t="s">
        <v>441</v>
      </c>
      <c r="H130" s="551"/>
      <c r="I130" s="591"/>
      <c r="J130" s="591"/>
      <c r="K130" s="579"/>
      <c r="L130" s="587"/>
      <c r="M130" s="586"/>
      <c r="N130" s="601"/>
      <c r="O130" s="581"/>
      <c r="P130" s="581"/>
      <c r="Q130" s="573"/>
      <c r="R130" s="545"/>
      <c r="S130" s="601"/>
    </row>
    <row r="131" spans="1:19" x14ac:dyDescent="0.2">
      <c r="A131" s="573"/>
      <c r="B131" s="20"/>
      <c r="C131" s="140"/>
      <c r="D131" s="95">
        <f>SUM(D127:D130)</f>
        <v>12.4</v>
      </c>
      <c r="E131" s="152"/>
      <c r="F131" s="24"/>
      <c r="G131" s="63"/>
      <c r="H131" s="18"/>
      <c r="I131" s="88"/>
      <c r="J131" s="88"/>
      <c r="K131" s="89"/>
      <c r="L131" s="152"/>
      <c r="M131" s="153"/>
      <c r="N131" s="153"/>
      <c r="O131" s="140"/>
      <c r="P131" s="140"/>
      <c r="Q131" s="80"/>
      <c r="R131" s="152"/>
      <c r="S131" s="153"/>
    </row>
    <row r="132" spans="1:19" ht="15.75" customHeight="1" x14ac:dyDescent="0.2">
      <c r="A132" s="572"/>
      <c r="B132" s="613" t="s">
        <v>898</v>
      </c>
      <c r="C132" s="140" t="s">
        <v>898</v>
      </c>
      <c r="D132" s="78">
        <v>2.1</v>
      </c>
      <c r="E132" s="544" t="s">
        <v>902</v>
      </c>
      <c r="F132" s="553" t="s">
        <v>246</v>
      </c>
      <c r="G132" s="62" t="s">
        <v>442</v>
      </c>
      <c r="H132" s="550" t="s">
        <v>716</v>
      </c>
      <c r="I132" s="597">
        <v>40456</v>
      </c>
      <c r="J132" s="597">
        <v>40493</v>
      </c>
      <c r="K132" s="630">
        <v>40585</v>
      </c>
      <c r="L132" s="586">
        <v>21746.400000000001</v>
      </c>
      <c r="M132" s="575">
        <v>14085.88</v>
      </c>
      <c r="N132" s="621">
        <v>100</v>
      </c>
      <c r="O132" s="583" t="s">
        <v>2196</v>
      </c>
      <c r="P132" s="583"/>
      <c r="Q132" s="572"/>
      <c r="R132" s="544" t="s">
        <v>271</v>
      </c>
      <c r="S132" s="671">
        <v>1</v>
      </c>
    </row>
    <row r="133" spans="1:19" ht="15.75" customHeight="1" x14ac:dyDescent="0.2">
      <c r="A133" s="572"/>
      <c r="B133" s="613"/>
      <c r="C133" s="140" t="s">
        <v>2171</v>
      </c>
      <c r="D133" s="78">
        <v>2.2000000000000002</v>
      </c>
      <c r="E133" s="544"/>
      <c r="F133" s="553"/>
      <c r="G133" s="62" t="s">
        <v>443</v>
      </c>
      <c r="H133" s="550"/>
      <c r="I133" s="597"/>
      <c r="J133" s="597"/>
      <c r="K133" s="630"/>
      <c r="L133" s="586"/>
      <c r="M133" s="575"/>
      <c r="N133" s="621"/>
      <c r="O133" s="583"/>
      <c r="P133" s="583"/>
      <c r="Q133" s="572"/>
      <c r="R133" s="544"/>
      <c r="S133" s="671"/>
    </row>
    <row r="134" spans="1:19" x14ac:dyDescent="0.2">
      <c r="A134" s="572"/>
      <c r="B134" s="613"/>
      <c r="C134" s="230" t="s">
        <v>2172</v>
      </c>
      <c r="D134" s="78">
        <v>2</v>
      </c>
      <c r="E134" s="544"/>
      <c r="F134" s="553"/>
      <c r="G134" s="62" t="s">
        <v>444</v>
      </c>
      <c r="H134" s="550"/>
      <c r="I134" s="597"/>
      <c r="J134" s="597"/>
      <c r="K134" s="630"/>
      <c r="L134" s="586"/>
      <c r="M134" s="575"/>
      <c r="N134" s="621"/>
      <c r="O134" s="583"/>
      <c r="P134" s="583"/>
      <c r="Q134" s="572"/>
      <c r="R134" s="544"/>
      <c r="S134" s="671"/>
    </row>
    <row r="135" spans="1:19" x14ac:dyDescent="0.2">
      <c r="A135" s="572"/>
      <c r="B135" s="559"/>
      <c r="C135" s="140" t="s">
        <v>1605</v>
      </c>
      <c r="D135" s="78">
        <v>4</v>
      </c>
      <c r="E135" s="545"/>
      <c r="F135" s="554"/>
      <c r="G135" s="63" t="s">
        <v>445</v>
      </c>
      <c r="H135" s="551"/>
      <c r="I135" s="598"/>
      <c r="J135" s="598"/>
      <c r="K135" s="627"/>
      <c r="L135" s="586"/>
      <c r="M135" s="575"/>
      <c r="N135" s="621"/>
      <c r="O135" s="623"/>
      <c r="P135" s="623"/>
      <c r="Q135" s="573"/>
      <c r="R135" s="545"/>
      <c r="S135" s="672"/>
    </row>
    <row r="136" spans="1:19" s="105" customFormat="1" x14ac:dyDescent="0.2">
      <c r="A136" s="573"/>
      <c r="B136" s="131"/>
      <c r="C136" s="140"/>
      <c r="D136" s="95">
        <f>SUM(D132:D135)</f>
        <v>10.3</v>
      </c>
      <c r="E136" s="151"/>
      <c r="F136" s="24"/>
      <c r="G136" s="63"/>
      <c r="H136" s="39"/>
      <c r="I136" s="81"/>
      <c r="J136" s="81"/>
      <c r="K136" s="82"/>
      <c r="L136" s="152"/>
      <c r="M136" s="153"/>
      <c r="N136" s="153"/>
      <c r="O136" s="140"/>
      <c r="P136" s="140"/>
      <c r="Q136" s="80"/>
      <c r="R136" s="151"/>
      <c r="S136" s="153"/>
    </row>
    <row r="137" spans="1:19" s="117" customFormat="1" ht="45" x14ac:dyDescent="0.2">
      <c r="A137" s="572"/>
      <c r="B137" s="20" t="s">
        <v>1555</v>
      </c>
      <c r="C137" s="140" t="s">
        <v>1555</v>
      </c>
      <c r="D137" s="78">
        <v>13</v>
      </c>
      <c r="E137" s="152" t="s">
        <v>942</v>
      </c>
      <c r="F137" s="24" t="s">
        <v>246</v>
      </c>
      <c r="G137" s="63" t="s">
        <v>446</v>
      </c>
      <c r="H137" s="18" t="s">
        <v>717</v>
      </c>
      <c r="I137" s="118">
        <v>40456</v>
      </c>
      <c r="J137" s="118">
        <v>40504</v>
      </c>
      <c r="K137" s="220">
        <v>40596</v>
      </c>
      <c r="L137" s="166">
        <v>24945.599999999999</v>
      </c>
      <c r="M137" s="166">
        <v>17087.400000000001</v>
      </c>
      <c r="N137" s="171">
        <v>100</v>
      </c>
      <c r="O137" s="119" t="s">
        <v>2159</v>
      </c>
      <c r="P137" s="119"/>
      <c r="Q137" s="80"/>
      <c r="R137" s="152" t="s">
        <v>271</v>
      </c>
      <c r="S137" s="171">
        <v>1</v>
      </c>
    </row>
    <row r="138" spans="1:19" x14ac:dyDescent="0.2">
      <c r="A138" s="573"/>
      <c r="B138" s="131"/>
      <c r="C138" s="139"/>
      <c r="D138" s="95">
        <f>SUM(D137:D137)</f>
        <v>13</v>
      </c>
      <c r="E138" s="16"/>
      <c r="F138" s="36"/>
      <c r="G138" s="75"/>
      <c r="H138" s="130"/>
      <c r="I138" s="76"/>
      <c r="J138" s="76"/>
      <c r="K138" s="77"/>
      <c r="L138" s="151"/>
      <c r="M138" s="149"/>
      <c r="N138" s="149"/>
      <c r="O138" s="139"/>
      <c r="P138" s="139"/>
      <c r="Q138" s="67"/>
      <c r="R138" s="16"/>
      <c r="S138" s="149"/>
    </row>
    <row r="139" spans="1:19" x14ac:dyDescent="0.2">
      <c r="A139" s="571"/>
      <c r="B139" s="613" t="s">
        <v>1465</v>
      </c>
      <c r="C139" s="140" t="s">
        <v>1465</v>
      </c>
      <c r="D139" s="90">
        <v>8.3000000000000007</v>
      </c>
      <c r="E139" s="543" t="s">
        <v>655</v>
      </c>
      <c r="F139" s="552" t="s">
        <v>246</v>
      </c>
      <c r="G139" s="62" t="s">
        <v>447</v>
      </c>
      <c r="H139" s="549" t="s">
        <v>896</v>
      </c>
      <c r="I139" s="589">
        <v>40456</v>
      </c>
      <c r="J139" s="589">
        <v>40493</v>
      </c>
      <c r="K139" s="577">
        <v>40585</v>
      </c>
      <c r="L139" s="588">
        <v>26397.360000000001</v>
      </c>
      <c r="M139" s="588">
        <v>25519.35</v>
      </c>
      <c r="N139" s="543">
        <v>100</v>
      </c>
      <c r="O139" s="582" t="s">
        <v>1975</v>
      </c>
      <c r="P139" s="603"/>
      <c r="Q139" s="571"/>
      <c r="R139" s="543" t="s">
        <v>271</v>
      </c>
      <c r="S139" s="543">
        <v>1</v>
      </c>
    </row>
    <row r="140" spans="1:19" x14ac:dyDescent="0.2">
      <c r="A140" s="572"/>
      <c r="B140" s="613"/>
      <c r="C140" s="140" t="s">
        <v>593</v>
      </c>
      <c r="D140" s="120">
        <v>2.2999999999999998</v>
      </c>
      <c r="E140" s="544"/>
      <c r="F140" s="553"/>
      <c r="G140" s="62" t="s">
        <v>448</v>
      </c>
      <c r="H140" s="550"/>
      <c r="I140" s="590"/>
      <c r="J140" s="590"/>
      <c r="K140" s="578"/>
      <c r="L140" s="586"/>
      <c r="M140" s="586"/>
      <c r="N140" s="544"/>
      <c r="O140" s="583"/>
      <c r="P140" s="604"/>
      <c r="Q140" s="572"/>
      <c r="R140" s="544"/>
      <c r="S140" s="544"/>
    </row>
    <row r="141" spans="1:19" x14ac:dyDescent="0.2">
      <c r="A141" s="572"/>
      <c r="B141" s="559"/>
      <c r="C141" s="140" t="s">
        <v>1616</v>
      </c>
      <c r="D141" s="78">
        <v>2</v>
      </c>
      <c r="E141" s="545"/>
      <c r="F141" s="554"/>
      <c r="G141" s="63" t="s">
        <v>1912</v>
      </c>
      <c r="H141" s="551"/>
      <c r="I141" s="591"/>
      <c r="J141" s="591"/>
      <c r="K141" s="579"/>
      <c r="L141" s="586"/>
      <c r="M141" s="586"/>
      <c r="N141" s="544"/>
      <c r="O141" s="583"/>
      <c r="P141" s="675"/>
      <c r="Q141" s="573"/>
      <c r="R141" s="545"/>
      <c r="S141" s="544"/>
    </row>
    <row r="142" spans="1:19" s="105" customFormat="1" x14ac:dyDescent="0.2">
      <c r="A142" s="573"/>
      <c r="B142" s="134"/>
      <c r="C142" s="140"/>
      <c r="D142" s="95">
        <f>SUM(D139:D141)</f>
        <v>12.600000000000001</v>
      </c>
      <c r="E142" s="151"/>
      <c r="F142" s="24"/>
      <c r="G142" s="63"/>
      <c r="H142" s="39"/>
      <c r="I142" s="81"/>
      <c r="J142" s="81"/>
      <c r="K142" s="82"/>
      <c r="L142" s="152"/>
      <c r="M142" s="153"/>
      <c r="N142" s="153"/>
      <c r="O142" s="140"/>
      <c r="P142" s="140"/>
      <c r="Q142" s="80"/>
      <c r="R142" s="151"/>
      <c r="S142" s="153"/>
    </row>
    <row r="143" spans="1:19" x14ac:dyDescent="0.2">
      <c r="A143" s="571"/>
      <c r="B143" s="613" t="s">
        <v>1466</v>
      </c>
      <c r="C143" s="139" t="s">
        <v>1466</v>
      </c>
      <c r="D143" s="90">
        <v>9.5</v>
      </c>
      <c r="E143" s="543" t="s">
        <v>841</v>
      </c>
      <c r="F143" s="552" t="s">
        <v>246</v>
      </c>
      <c r="G143" s="75" t="s">
        <v>1832</v>
      </c>
      <c r="H143" s="549" t="s">
        <v>597</v>
      </c>
      <c r="I143" s="589">
        <v>40456</v>
      </c>
      <c r="J143" s="589">
        <v>40505</v>
      </c>
      <c r="K143" s="589">
        <v>40625</v>
      </c>
      <c r="L143" s="588">
        <v>44825.04</v>
      </c>
      <c r="M143" s="588">
        <v>33482.129999999997</v>
      </c>
      <c r="N143" s="543">
        <v>100</v>
      </c>
      <c r="O143" s="580" t="s">
        <v>1238</v>
      </c>
      <c r="P143" s="603"/>
      <c r="Q143" s="571"/>
      <c r="R143" s="543" t="s">
        <v>271</v>
      </c>
      <c r="S143" s="543"/>
    </row>
    <row r="144" spans="1:19" x14ac:dyDescent="0.2">
      <c r="A144" s="572"/>
      <c r="B144" s="613"/>
      <c r="C144" s="139" t="s">
        <v>1391</v>
      </c>
      <c r="D144" s="120">
        <v>9</v>
      </c>
      <c r="E144" s="544"/>
      <c r="F144" s="553"/>
      <c r="G144" s="75" t="s">
        <v>2241</v>
      </c>
      <c r="H144" s="550"/>
      <c r="I144" s="590"/>
      <c r="J144" s="590"/>
      <c r="K144" s="590"/>
      <c r="L144" s="586"/>
      <c r="M144" s="586"/>
      <c r="N144" s="544"/>
      <c r="O144" s="581"/>
      <c r="P144" s="604"/>
      <c r="Q144" s="572"/>
      <c r="R144" s="544"/>
      <c r="S144" s="544"/>
    </row>
    <row r="145" spans="1:19" x14ac:dyDescent="0.2">
      <c r="A145" s="572"/>
      <c r="B145" s="559"/>
      <c r="C145" s="140" t="s">
        <v>1392</v>
      </c>
      <c r="D145" s="78">
        <v>2.9</v>
      </c>
      <c r="E145" s="545"/>
      <c r="F145" s="554"/>
      <c r="G145" s="63" t="s">
        <v>1912</v>
      </c>
      <c r="H145" s="551"/>
      <c r="I145" s="591"/>
      <c r="J145" s="591"/>
      <c r="K145" s="591"/>
      <c r="L145" s="586"/>
      <c r="M145" s="586"/>
      <c r="N145" s="544"/>
      <c r="O145" s="581"/>
      <c r="P145" s="675"/>
      <c r="Q145" s="573"/>
      <c r="R145" s="545"/>
      <c r="S145" s="544"/>
    </row>
    <row r="146" spans="1:19" x14ac:dyDescent="0.2">
      <c r="A146" s="573"/>
      <c r="B146" s="134"/>
      <c r="C146" s="140"/>
      <c r="D146" s="95">
        <f>SUM(D143:D145)</f>
        <v>21.4</v>
      </c>
      <c r="E146" s="151"/>
      <c r="F146" s="24"/>
      <c r="G146" s="63"/>
      <c r="H146" s="18"/>
      <c r="I146" s="72"/>
      <c r="J146" s="72"/>
      <c r="K146" s="85"/>
      <c r="L146" s="152"/>
      <c r="M146" s="153"/>
      <c r="N146" s="153"/>
      <c r="O146" s="140"/>
      <c r="P146" s="140"/>
      <c r="Q146" s="80"/>
      <c r="R146" s="151"/>
      <c r="S146" s="153"/>
    </row>
    <row r="147" spans="1:19" s="105" customFormat="1" ht="45" customHeight="1" x14ac:dyDescent="0.2">
      <c r="A147" s="571"/>
      <c r="B147" s="558" t="s">
        <v>1467</v>
      </c>
      <c r="C147" s="140" t="s">
        <v>1467</v>
      </c>
      <c r="D147" s="78">
        <v>19.2</v>
      </c>
      <c r="E147" s="543" t="s">
        <v>1676</v>
      </c>
      <c r="F147" s="552" t="s">
        <v>246</v>
      </c>
      <c r="G147" s="63" t="s">
        <v>408</v>
      </c>
      <c r="H147" s="549" t="s">
        <v>429</v>
      </c>
      <c r="I147" s="589">
        <v>40456</v>
      </c>
      <c r="J147" s="589">
        <v>40519</v>
      </c>
      <c r="K147" s="589">
        <v>40640</v>
      </c>
      <c r="L147" s="588">
        <v>36543.360000000001</v>
      </c>
      <c r="M147" s="588">
        <v>33620.54</v>
      </c>
      <c r="N147" s="543">
        <v>100</v>
      </c>
      <c r="O147" s="665" t="s">
        <v>976</v>
      </c>
      <c r="P147" s="662"/>
      <c r="Q147" s="571"/>
      <c r="R147" s="543" t="s">
        <v>271</v>
      </c>
      <c r="S147" s="543">
        <v>1</v>
      </c>
    </row>
    <row r="148" spans="1:19" s="105" customFormat="1" x14ac:dyDescent="0.2">
      <c r="A148" s="572"/>
      <c r="B148" s="559"/>
      <c r="C148" s="228" t="s">
        <v>1731</v>
      </c>
      <c r="D148" s="90">
        <v>2.2999999999999998</v>
      </c>
      <c r="E148" s="545"/>
      <c r="F148" s="554"/>
      <c r="G148" s="75" t="s">
        <v>1445</v>
      </c>
      <c r="H148" s="551"/>
      <c r="I148" s="591"/>
      <c r="J148" s="591"/>
      <c r="K148" s="591"/>
      <c r="L148" s="587"/>
      <c r="M148" s="587"/>
      <c r="N148" s="545"/>
      <c r="O148" s="666"/>
      <c r="P148" s="664"/>
      <c r="Q148" s="573"/>
      <c r="R148" s="545"/>
      <c r="S148" s="545"/>
    </row>
    <row r="149" spans="1:19" x14ac:dyDescent="0.2">
      <c r="A149" s="573"/>
      <c r="B149" s="133"/>
      <c r="C149" s="139"/>
      <c r="D149" s="95">
        <f>SUM(D147:D148)</f>
        <v>21.5</v>
      </c>
      <c r="E149" s="16"/>
      <c r="F149" s="36"/>
      <c r="G149" s="75"/>
      <c r="H149" s="130"/>
      <c r="I149" s="76"/>
      <c r="J149" s="76"/>
      <c r="K149" s="77"/>
      <c r="L149" s="151"/>
      <c r="M149" s="149"/>
      <c r="N149" s="149"/>
      <c r="O149" s="139"/>
      <c r="P149" s="139"/>
      <c r="Q149" s="67"/>
      <c r="R149" s="16"/>
      <c r="S149" s="149"/>
    </row>
    <row r="150" spans="1:19" ht="15" customHeight="1" x14ac:dyDescent="0.2">
      <c r="A150" s="571"/>
      <c r="B150" s="558" t="s">
        <v>1468</v>
      </c>
      <c r="C150" s="140" t="s">
        <v>1468</v>
      </c>
      <c r="D150" s="90">
        <v>4.4000000000000004</v>
      </c>
      <c r="E150" s="543" t="s">
        <v>1676</v>
      </c>
      <c r="F150" s="552" t="s">
        <v>246</v>
      </c>
      <c r="G150" s="63" t="s">
        <v>409</v>
      </c>
      <c r="H150" s="549" t="s">
        <v>1988</v>
      </c>
      <c r="I150" s="589">
        <v>40456</v>
      </c>
      <c r="J150" s="589">
        <v>40520</v>
      </c>
      <c r="K150" s="577">
        <v>40610</v>
      </c>
      <c r="L150" s="588">
        <v>26190.720000000001</v>
      </c>
      <c r="M150" s="588">
        <v>20709.7</v>
      </c>
      <c r="N150" s="543">
        <v>100</v>
      </c>
      <c r="O150" s="696" t="s">
        <v>518</v>
      </c>
      <c r="P150" s="662"/>
      <c r="Q150" s="571"/>
      <c r="R150" s="543" t="s">
        <v>271</v>
      </c>
      <c r="S150" s="667"/>
    </row>
    <row r="151" spans="1:19" x14ac:dyDescent="0.2">
      <c r="A151" s="572"/>
      <c r="B151" s="613"/>
      <c r="C151" s="140" t="s">
        <v>1393</v>
      </c>
      <c r="D151" s="78">
        <v>7</v>
      </c>
      <c r="E151" s="544"/>
      <c r="F151" s="553"/>
      <c r="G151" s="63" t="s">
        <v>410</v>
      </c>
      <c r="H151" s="550"/>
      <c r="I151" s="590"/>
      <c r="J151" s="590"/>
      <c r="K151" s="578"/>
      <c r="L151" s="586"/>
      <c r="M151" s="586"/>
      <c r="N151" s="544"/>
      <c r="O151" s="697"/>
      <c r="P151" s="663"/>
      <c r="Q151" s="572"/>
      <c r="R151" s="544"/>
      <c r="S151" s="668"/>
    </row>
    <row r="152" spans="1:19" x14ac:dyDescent="0.2">
      <c r="A152" s="572"/>
      <c r="B152" s="613"/>
      <c r="C152" s="227" t="s">
        <v>1536</v>
      </c>
      <c r="D152" s="120">
        <v>2.1</v>
      </c>
      <c r="E152" s="544"/>
      <c r="F152" s="553"/>
      <c r="G152" s="63" t="s">
        <v>1912</v>
      </c>
      <c r="H152" s="550"/>
      <c r="I152" s="590"/>
      <c r="J152" s="590"/>
      <c r="K152" s="578"/>
      <c r="L152" s="586"/>
      <c r="M152" s="586"/>
      <c r="N152" s="544"/>
      <c r="O152" s="697"/>
      <c r="P152" s="663"/>
      <c r="Q152" s="572"/>
      <c r="R152" s="544"/>
      <c r="S152" s="668"/>
    </row>
    <row r="153" spans="1:19" x14ac:dyDescent="0.2">
      <c r="A153" s="572"/>
      <c r="B153" s="559"/>
      <c r="C153" s="140" t="s">
        <v>1394</v>
      </c>
      <c r="D153" s="78">
        <v>2.2000000000000002</v>
      </c>
      <c r="E153" s="545"/>
      <c r="F153" s="554"/>
      <c r="G153" s="63" t="s">
        <v>411</v>
      </c>
      <c r="H153" s="551"/>
      <c r="I153" s="591"/>
      <c r="J153" s="591"/>
      <c r="K153" s="579"/>
      <c r="L153" s="586"/>
      <c r="M153" s="586"/>
      <c r="N153" s="545"/>
      <c r="O153" s="698"/>
      <c r="P153" s="664"/>
      <c r="Q153" s="573"/>
      <c r="R153" s="545"/>
      <c r="S153" s="669"/>
    </row>
    <row r="154" spans="1:19" x14ac:dyDescent="0.2">
      <c r="A154" s="573"/>
      <c r="B154" s="133"/>
      <c r="C154" s="140"/>
      <c r="D154" s="95">
        <f>SUM(D150:D153)</f>
        <v>15.7</v>
      </c>
      <c r="E154" s="16"/>
      <c r="F154" s="24"/>
      <c r="G154" s="63"/>
      <c r="H154" s="130"/>
      <c r="I154" s="81"/>
      <c r="J154" s="81"/>
      <c r="K154" s="82"/>
      <c r="L154" s="152"/>
      <c r="M154" s="153"/>
      <c r="N154" s="153"/>
      <c r="O154" s="140"/>
      <c r="P154" s="140"/>
      <c r="Q154" s="80"/>
      <c r="R154" s="16"/>
      <c r="S154" s="153"/>
    </row>
    <row r="155" spans="1:19" x14ac:dyDescent="0.2">
      <c r="A155" s="571"/>
      <c r="B155" s="558" t="s">
        <v>1469</v>
      </c>
      <c r="C155" s="140" t="s">
        <v>1469</v>
      </c>
      <c r="D155" s="78">
        <v>7.8</v>
      </c>
      <c r="E155" s="546" t="s">
        <v>1538</v>
      </c>
      <c r="F155" s="552" t="s">
        <v>246</v>
      </c>
      <c r="G155" s="63" t="s">
        <v>1912</v>
      </c>
      <c r="H155" s="549" t="s">
        <v>430</v>
      </c>
      <c r="I155" s="589">
        <v>40456</v>
      </c>
      <c r="J155" s="589">
        <v>40522</v>
      </c>
      <c r="K155" s="577">
        <v>40612</v>
      </c>
      <c r="L155" s="588">
        <v>27528</v>
      </c>
      <c r="M155" s="588">
        <v>19828.84</v>
      </c>
      <c r="N155" s="543">
        <v>100</v>
      </c>
      <c r="O155" s="615" t="s">
        <v>1209</v>
      </c>
      <c r="P155" s="580"/>
      <c r="Q155" s="571"/>
      <c r="R155" s="546" t="s">
        <v>271</v>
      </c>
      <c r="S155" s="543"/>
    </row>
    <row r="156" spans="1:19" x14ac:dyDescent="0.2">
      <c r="A156" s="572"/>
      <c r="B156" s="613"/>
      <c r="C156" s="140" t="s">
        <v>1395</v>
      </c>
      <c r="D156" s="78">
        <v>1.2</v>
      </c>
      <c r="E156" s="547"/>
      <c r="F156" s="553"/>
      <c r="G156" s="63" t="s">
        <v>1912</v>
      </c>
      <c r="H156" s="550"/>
      <c r="I156" s="590"/>
      <c r="J156" s="590"/>
      <c r="K156" s="578"/>
      <c r="L156" s="586"/>
      <c r="M156" s="586"/>
      <c r="N156" s="544"/>
      <c r="O156" s="616"/>
      <c r="P156" s="581"/>
      <c r="Q156" s="572"/>
      <c r="R156" s="547"/>
      <c r="S156" s="544"/>
    </row>
    <row r="157" spans="1:19" x14ac:dyDescent="0.2">
      <c r="A157" s="572"/>
      <c r="B157" s="613"/>
      <c r="C157" s="145" t="s">
        <v>1396</v>
      </c>
      <c r="D157" s="78">
        <v>1.8</v>
      </c>
      <c r="E157" s="547"/>
      <c r="F157" s="553"/>
      <c r="G157" s="63" t="s">
        <v>1912</v>
      </c>
      <c r="H157" s="550"/>
      <c r="I157" s="590"/>
      <c r="J157" s="590"/>
      <c r="K157" s="578"/>
      <c r="L157" s="586"/>
      <c r="M157" s="586"/>
      <c r="N157" s="544"/>
      <c r="O157" s="616"/>
      <c r="P157" s="581"/>
      <c r="Q157" s="572"/>
      <c r="R157" s="547"/>
      <c r="S157" s="544"/>
    </row>
    <row r="158" spans="1:19" x14ac:dyDescent="0.2">
      <c r="A158" s="572"/>
      <c r="B158" s="613"/>
      <c r="C158" s="140" t="s">
        <v>172</v>
      </c>
      <c r="D158" s="78">
        <v>1</v>
      </c>
      <c r="E158" s="547"/>
      <c r="F158" s="553"/>
      <c r="G158" s="63" t="s">
        <v>412</v>
      </c>
      <c r="H158" s="550"/>
      <c r="I158" s="590"/>
      <c r="J158" s="590"/>
      <c r="K158" s="578"/>
      <c r="L158" s="586"/>
      <c r="M158" s="586"/>
      <c r="N158" s="544"/>
      <c r="O158" s="616"/>
      <c r="P158" s="581"/>
      <c r="Q158" s="572"/>
      <c r="R158" s="547"/>
      <c r="S158" s="544"/>
    </row>
    <row r="159" spans="1:19" ht="12.75" customHeight="1" x14ac:dyDescent="0.2">
      <c r="A159" s="572"/>
      <c r="B159" s="559"/>
      <c r="C159" s="235" t="s">
        <v>173</v>
      </c>
      <c r="D159" s="78">
        <v>3</v>
      </c>
      <c r="E159" s="548"/>
      <c r="F159" s="554"/>
      <c r="G159" s="63" t="s">
        <v>2094</v>
      </c>
      <c r="H159" s="551"/>
      <c r="I159" s="591"/>
      <c r="J159" s="591"/>
      <c r="K159" s="579"/>
      <c r="L159" s="587"/>
      <c r="M159" s="587"/>
      <c r="N159" s="545"/>
      <c r="O159" s="616"/>
      <c r="P159" s="581"/>
      <c r="Q159" s="573"/>
      <c r="R159" s="548"/>
      <c r="S159" s="545"/>
    </row>
    <row r="160" spans="1:19" ht="12.75" customHeight="1" x14ac:dyDescent="0.2">
      <c r="A160" s="573"/>
      <c r="B160" s="138"/>
      <c r="C160" s="140"/>
      <c r="D160" s="95">
        <f>SUM(D155:D159)</f>
        <v>14.8</v>
      </c>
      <c r="E160" s="136"/>
      <c r="F160" s="24"/>
      <c r="G160" s="63"/>
      <c r="H160" s="130"/>
      <c r="I160" s="81"/>
      <c r="J160" s="81"/>
      <c r="K160" s="82"/>
      <c r="L160" s="152"/>
      <c r="M160" s="153"/>
      <c r="N160" s="153"/>
      <c r="O160" s="140"/>
      <c r="P160" s="140"/>
      <c r="Q160" s="80"/>
      <c r="R160" s="136"/>
      <c r="S160" s="153"/>
    </row>
    <row r="161" spans="1:19" ht="12.75" customHeight="1" x14ac:dyDescent="0.2">
      <c r="A161" s="571"/>
      <c r="B161" s="558" t="s">
        <v>1470</v>
      </c>
      <c r="C161" s="230" t="s">
        <v>1470</v>
      </c>
      <c r="D161" s="90">
        <v>4</v>
      </c>
      <c r="E161" s="546" t="s">
        <v>684</v>
      </c>
      <c r="F161" s="552" t="s">
        <v>246</v>
      </c>
      <c r="G161" s="63" t="s">
        <v>2096</v>
      </c>
      <c r="H161" s="555" t="s">
        <v>1955</v>
      </c>
      <c r="I161" s="589">
        <v>40456</v>
      </c>
      <c r="J161" s="589">
        <v>40514</v>
      </c>
      <c r="K161" s="577">
        <v>40604</v>
      </c>
      <c r="L161" s="588">
        <v>20400.59</v>
      </c>
      <c r="M161" s="588">
        <v>12910.14</v>
      </c>
      <c r="N161" s="543">
        <v>100</v>
      </c>
      <c r="O161" s="580" t="s">
        <v>513</v>
      </c>
      <c r="P161" s="603"/>
      <c r="Q161" s="571"/>
      <c r="R161" s="546" t="s">
        <v>271</v>
      </c>
      <c r="S161" s="543">
        <v>1</v>
      </c>
    </row>
    <row r="162" spans="1:19" ht="12.75" customHeight="1" x14ac:dyDescent="0.2">
      <c r="A162" s="572"/>
      <c r="B162" s="613"/>
      <c r="C162" s="140" t="s">
        <v>620</v>
      </c>
      <c r="D162" s="78">
        <v>2.6</v>
      </c>
      <c r="E162" s="547"/>
      <c r="F162" s="553"/>
      <c r="G162" s="63" t="s">
        <v>2097</v>
      </c>
      <c r="H162" s="556"/>
      <c r="I162" s="590"/>
      <c r="J162" s="590"/>
      <c r="K162" s="578"/>
      <c r="L162" s="586"/>
      <c r="M162" s="586"/>
      <c r="N162" s="544"/>
      <c r="O162" s="581"/>
      <c r="P162" s="604"/>
      <c r="Q162" s="572"/>
      <c r="R162" s="547"/>
      <c r="S162" s="544"/>
    </row>
    <row r="163" spans="1:19" ht="12.75" customHeight="1" x14ac:dyDescent="0.2">
      <c r="A163" s="572"/>
      <c r="B163" s="613"/>
      <c r="C163" s="140" t="s">
        <v>621</v>
      </c>
      <c r="D163" s="78">
        <v>3.2</v>
      </c>
      <c r="E163" s="547"/>
      <c r="F163" s="553"/>
      <c r="G163" s="63" t="s">
        <v>2222</v>
      </c>
      <c r="H163" s="556"/>
      <c r="I163" s="590"/>
      <c r="J163" s="590"/>
      <c r="K163" s="578"/>
      <c r="L163" s="586"/>
      <c r="M163" s="586"/>
      <c r="N163" s="544"/>
      <c r="O163" s="581"/>
      <c r="P163" s="604"/>
      <c r="Q163" s="572"/>
      <c r="R163" s="547"/>
      <c r="S163" s="544"/>
    </row>
    <row r="164" spans="1:19" ht="12.75" customHeight="1" x14ac:dyDescent="0.2">
      <c r="A164" s="572"/>
      <c r="B164" s="613"/>
      <c r="C164" s="140" t="s">
        <v>622</v>
      </c>
      <c r="D164" s="78">
        <v>2</v>
      </c>
      <c r="E164" s="547"/>
      <c r="F164" s="553"/>
      <c r="G164" s="63" t="s">
        <v>2098</v>
      </c>
      <c r="H164" s="556"/>
      <c r="I164" s="590"/>
      <c r="J164" s="590"/>
      <c r="K164" s="578"/>
      <c r="L164" s="586"/>
      <c r="M164" s="586"/>
      <c r="N164" s="544"/>
      <c r="O164" s="581"/>
      <c r="P164" s="604"/>
      <c r="Q164" s="572"/>
      <c r="R164" s="547"/>
      <c r="S164" s="544"/>
    </row>
    <row r="165" spans="1:19" ht="12.75" customHeight="1" x14ac:dyDescent="0.2">
      <c r="A165" s="572"/>
      <c r="B165" s="559"/>
      <c r="C165" s="140" t="s">
        <v>623</v>
      </c>
      <c r="D165" s="78">
        <v>1.1000000000000001</v>
      </c>
      <c r="E165" s="548"/>
      <c r="F165" s="554"/>
      <c r="G165" s="63" t="s">
        <v>2099</v>
      </c>
      <c r="H165" s="557"/>
      <c r="I165" s="591"/>
      <c r="J165" s="591"/>
      <c r="K165" s="579"/>
      <c r="L165" s="587"/>
      <c r="M165" s="587"/>
      <c r="N165" s="545"/>
      <c r="O165" s="605"/>
      <c r="P165" s="675"/>
      <c r="Q165" s="573"/>
      <c r="R165" s="548"/>
      <c r="S165" s="545"/>
    </row>
    <row r="166" spans="1:19" ht="12.75" customHeight="1" x14ac:dyDescent="0.2">
      <c r="A166" s="573"/>
      <c r="B166" s="138"/>
      <c r="C166" s="140"/>
      <c r="D166" s="95">
        <f>SUM(D161:D165)</f>
        <v>12.9</v>
      </c>
      <c r="E166" s="136"/>
      <c r="F166" s="24"/>
      <c r="G166" s="63"/>
      <c r="H166" s="130"/>
      <c r="I166" s="81"/>
      <c r="J166" s="81"/>
      <c r="K166" s="82"/>
      <c r="L166" s="152"/>
      <c r="M166" s="164"/>
      <c r="N166" s="164"/>
      <c r="O166" s="162"/>
      <c r="P166" s="162"/>
      <c r="Q166" s="80"/>
      <c r="R166" s="136"/>
      <c r="S166" s="164"/>
    </row>
    <row r="167" spans="1:19" ht="12.75" customHeight="1" x14ac:dyDescent="0.2">
      <c r="A167" s="571"/>
      <c r="B167" s="558" t="s">
        <v>1471</v>
      </c>
      <c r="C167" s="140" t="s">
        <v>641</v>
      </c>
      <c r="D167" s="90">
        <v>10.6</v>
      </c>
      <c r="E167" s="546" t="s">
        <v>841</v>
      </c>
      <c r="F167" s="552" t="s">
        <v>246</v>
      </c>
      <c r="G167" s="63" t="s">
        <v>867</v>
      </c>
      <c r="H167" s="549" t="s">
        <v>1647</v>
      </c>
      <c r="I167" s="589">
        <v>40456</v>
      </c>
      <c r="J167" s="589">
        <v>40487</v>
      </c>
      <c r="K167" s="577">
        <v>40607</v>
      </c>
      <c r="L167" s="588">
        <v>31104</v>
      </c>
      <c r="M167" s="588">
        <v>30284.9</v>
      </c>
      <c r="N167" s="600">
        <v>100</v>
      </c>
      <c r="O167" s="580" t="s">
        <v>1874</v>
      </c>
      <c r="P167" s="609"/>
      <c r="Q167" s="571"/>
      <c r="R167" s="546" t="s">
        <v>271</v>
      </c>
      <c r="S167" s="600">
        <v>1</v>
      </c>
    </row>
    <row r="168" spans="1:19" ht="12.75" customHeight="1" x14ac:dyDescent="0.2">
      <c r="A168" s="572"/>
      <c r="B168" s="613"/>
      <c r="C168" s="140" t="s">
        <v>642</v>
      </c>
      <c r="D168" s="90">
        <v>2.1</v>
      </c>
      <c r="E168" s="547"/>
      <c r="F168" s="553"/>
      <c r="G168" s="63" t="s">
        <v>868</v>
      </c>
      <c r="H168" s="550"/>
      <c r="I168" s="590"/>
      <c r="J168" s="590"/>
      <c r="K168" s="578"/>
      <c r="L168" s="586"/>
      <c r="M168" s="586"/>
      <c r="N168" s="601"/>
      <c r="O168" s="581"/>
      <c r="P168" s="584"/>
      <c r="Q168" s="572"/>
      <c r="R168" s="547"/>
      <c r="S168" s="601"/>
    </row>
    <row r="169" spans="1:19" ht="12.75" customHeight="1" x14ac:dyDescent="0.2">
      <c r="A169" s="572"/>
      <c r="B169" s="613"/>
      <c r="C169" s="140" t="s">
        <v>2169</v>
      </c>
      <c r="D169" s="90">
        <v>1</v>
      </c>
      <c r="E169" s="547"/>
      <c r="F169" s="553"/>
      <c r="G169" s="63" t="s">
        <v>869</v>
      </c>
      <c r="H169" s="550"/>
      <c r="I169" s="590"/>
      <c r="J169" s="590"/>
      <c r="K169" s="578"/>
      <c r="L169" s="586"/>
      <c r="M169" s="586"/>
      <c r="N169" s="601"/>
      <c r="O169" s="581"/>
      <c r="P169" s="584"/>
      <c r="Q169" s="572"/>
      <c r="R169" s="547"/>
      <c r="S169" s="601"/>
    </row>
    <row r="170" spans="1:19" x14ac:dyDescent="0.2">
      <c r="A170" s="572"/>
      <c r="B170" s="613"/>
      <c r="C170" s="140" t="s">
        <v>643</v>
      </c>
      <c r="D170" s="78">
        <v>1.5</v>
      </c>
      <c r="E170" s="547"/>
      <c r="F170" s="553"/>
      <c r="G170" s="63" t="s">
        <v>870</v>
      </c>
      <c r="H170" s="550"/>
      <c r="I170" s="590"/>
      <c r="J170" s="590"/>
      <c r="K170" s="578"/>
      <c r="L170" s="586"/>
      <c r="M170" s="586"/>
      <c r="N170" s="601"/>
      <c r="O170" s="581"/>
      <c r="P170" s="584"/>
      <c r="Q170" s="572"/>
      <c r="R170" s="547"/>
      <c r="S170" s="601"/>
    </row>
    <row r="171" spans="1:19" x14ac:dyDescent="0.2">
      <c r="A171" s="572"/>
      <c r="B171" s="559"/>
      <c r="C171" s="230" t="s">
        <v>644</v>
      </c>
      <c r="D171" s="78">
        <v>1</v>
      </c>
      <c r="E171" s="548"/>
      <c r="F171" s="554"/>
      <c r="G171" s="63" t="s">
        <v>871</v>
      </c>
      <c r="H171" s="551"/>
      <c r="I171" s="590"/>
      <c r="J171" s="590"/>
      <c r="K171" s="578"/>
      <c r="L171" s="587"/>
      <c r="M171" s="587"/>
      <c r="N171" s="602"/>
      <c r="O171" s="581"/>
      <c r="P171" s="585"/>
      <c r="Q171" s="573"/>
      <c r="R171" s="548"/>
      <c r="S171" s="602"/>
    </row>
    <row r="172" spans="1:19" x14ac:dyDescent="0.2">
      <c r="A172" s="573"/>
      <c r="B172" s="133"/>
      <c r="C172" s="140"/>
      <c r="D172" s="95">
        <f>SUM(D167:D171)</f>
        <v>16.2</v>
      </c>
      <c r="E172" s="136"/>
      <c r="F172" s="24"/>
      <c r="G172" s="63"/>
      <c r="H172" s="130"/>
      <c r="I172" s="81"/>
      <c r="J172" s="81"/>
      <c r="K172" s="82"/>
      <c r="L172" s="152"/>
      <c r="M172" s="153"/>
      <c r="N172" s="153"/>
      <c r="O172" s="140"/>
      <c r="P172" s="140"/>
      <c r="Q172" s="80"/>
      <c r="R172" s="136"/>
      <c r="S172" s="153"/>
    </row>
    <row r="173" spans="1:19" x14ac:dyDescent="0.2">
      <c r="A173" s="571"/>
      <c r="B173" s="558" t="s">
        <v>1472</v>
      </c>
      <c r="C173" s="140" t="s">
        <v>1472</v>
      </c>
      <c r="D173" s="90">
        <v>4</v>
      </c>
      <c r="E173" s="546" t="s">
        <v>841</v>
      </c>
      <c r="F173" s="552" t="s">
        <v>246</v>
      </c>
      <c r="G173" s="63" t="s">
        <v>1085</v>
      </c>
      <c r="H173" s="549" t="s">
        <v>1648</v>
      </c>
      <c r="I173" s="589">
        <v>40456</v>
      </c>
      <c r="J173" s="589">
        <v>40487</v>
      </c>
      <c r="K173" s="577">
        <v>40579</v>
      </c>
      <c r="L173" s="574">
        <v>22835.279999999999</v>
      </c>
      <c r="M173" s="574">
        <v>20729.580000000002</v>
      </c>
      <c r="N173" s="620">
        <v>100</v>
      </c>
      <c r="O173" s="582" t="s">
        <v>1345</v>
      </c>
      <c r="P173" s="673"/>
      <c r="Q173" s="571"/>
      <c r="R173" s="546" t="s">
        <v>271</v>
      </c>
      <c r="S173" s="620">
        <v>1</v>
      </c>
    </row>
    <row r="174" spans="1:19" x14ac:dyDescent="0.2">
      <c r="A174" s="572"/>
      <c r="B174" s="613"/>
      <c r="C174" s="140" t="s">
        <v>645</v>
      </c>
      <c r="D174" s="78">
        <v>1</v>
      </c>
      <c r="E174" s="547"/>
      <c r="F174" s="553"/>
      <c r="G174" s="63" t="s">
        <v>1510</v>
      </c>
      <c r="H174" s="550"/>
      <c r="I174" s="590"/>
      <c r="J174" s="590"/>
      <c r="K174" s="578"/>
      <c r="L174" s="575"/>
      <c r="M174" s="575"/>
      <c r="N174" s="621"/>
      <c r="O174" s="583"/>
      <c r="P174" s="674"/>
      <c r="Q174" s="572"/>
      <c r="R174" s="547"/>
      <c r="S174" s="621"/>
    </row>
    <row r="175" spans="1:19" x14ac:dyDescent="0.2">
      <c r="A175" s="572"/>
      <c r="B175" s="613"/>
      <c r="C175" s="227" t="s">
        <v>612</v>
      </c>
      <c r="D175" s="78">
        <v>0.7</v>
      </c>
      <c r="E175" s="547"/>
      <c r="F175" s="553"/>
      <c r="G175" s="63" t="s">
        <v>611</v>
      </c>
      <c r="H175" s="550"/>
      <c r="I175" s="590"/>
      <c r="J175" s="590"/>
      <c r="K175" s="578"/>
      <c r="L175" s="575"/>
      <c r="M175" s="575"/>
      <c r="N175" s="621"/>
      <c r="O175" s="583"/>
      <c r="P175" s="674"/>
      <c r="Q175" s="572"/>
      <c r="R175" s="547"/>
      <c r="S175" s="621"/>
    </row>
    <row r="176" spans="1:19" x14ac:dyDescent="0.2">
      <c r="A176" s="572"/>
      <c r="B176" s="559"/>
      <c r="C176" s="140" t="s">
        <v>646</v>
      </c>
      <c r="D176" s="78">
        <v>5.8</v>
      </c>
      <c r="E176" s="548"/>
      <c r="F176" s="554"/>
      <c r="G176" s="63" t="s">
        <v>1511</v>
      </c>
      <c r="H176" s="551"/>
      <c r="I176" s="590"/>
      <c r="J176" s="590"/>
      <c r="K176" s="578"/>
      <c r="L176" s="575"/>
      <c r="M176" s="575"/>
      <c r="N176" s="621"/>
      <c r="O176" s="583"/>
      <c r="P176" s="674"/>
      <c r="Q176" s="573"/>
      <c r="R176" s="548"/>
      <c r="S176" s="621"/>
    </row>
    <row r="177" spans="1:19" x14ac:dyDescent="0.2">
      <c r="A177" s="573"/>
      <c r="B177" s="138"/>
      <c r="C177" s="140"/>
      <c r="D177" s="95">
        <f>SUM(D173:D176)</f>
        <v>11.5</v>
      </c>
      <c r="E177" s="136"/>
      <c r="F177" s="24"/>
      <c r="G177" s="63"/>
      <c r="H177" s="130"/>
      <c r="I177" s="81"/>
      <c r="J177" s="81"/>
      <c r="K177" s="82"/>
      <c r="L177" s="152"/>
      <c r="M177" s="153"/>
      <c r="N177" s="153"/>
      <c r="O177" s="140"/>
      <c r="P177" s="140"/>
      <c r="Q177" s="80"/>
      <c r="R177" s="136"/>
      <c r="S177" s="153"/>
    </row>
    <row r="178" spans="1:19" ht="12.75" customHeight="1" x14ac:dyDescent="0.2">
      <c r="A178" s="571"/>
      <c r="B178" s="558" t="s">
        <v>1473</v>
      </c>
      <c r="C178" s="225" t="s">
        <v>1473</v>
      </c>
      <c r="D178" s="90">
        <v>5.35</v>
      </c>
      <c r="E178" s="546" t="s">
        <v>841</v>
      </c>
      <c r="F178" s="552" t="s">
        <v>246</v>
      </c>
      <c r="G178" s="63" t="s">
        <v>1512</v>
      </c>
      <c r="H178" s="549" t="s">
        <v>1002</v>
      </c>
      <c r="I178" s="599">
        <v>40456</v>
      </c>
      <c r="J178" s="595">
        <v>40511</v>
      </c>
      <c r="K178" s="626">
        <v>40603</v>
      </c>
      <c r="L178" s="574">
        <v>25632</v>
      </c>
      <c r="M178" s="574">
        <v>20271.080000000002</v>
      </c>
      <c r="N178" s="670">
        <v>100</v>
      </c>
      <c r="O178" s="693" t="s">
        <v>1209</v>
      </c>
      <c r="P178" s="582"/>
      <c r="Q178" s="571"/>
      <c r="R178" s="546" t="s">
        <v>271</v>
      </c>
      <c r="S178" s="670"/>
    </row>
    <row r="179" spans="1:19" x14ac:dyDescent="0.2">
      <c r="A179" s="572"/>
      <c r="B179" s="613"/>
      <c r="C179" s="140" t="s">
        <v>647</v>
      </c>
      <c r="D179" s="78">
        <v>1.6</v>
      </c>
      <c r="E179" s="547"/>
      <c r="F179" s="553"/>
      <c r="G179" s="63" t="s">
        <v>1513</v>
      </c>
      <c r="H179" s="550"/>
      <c r="I179" s="597"/>
      <c r="J179" s="597"/>
      <c r="K179" s="630"/>
      <c r="L179" s="575"/>
      <c r="M179" s="575"/>
      <c r="N179" s="671"/>
      <c r="O179" s="694"/>
      <c r="P179" s="583"/>
      <c r="Q179" s="572"/>
      <c r="R179" s="547"/>
      <c r="S179" s="671"/>
    </row>
    <row r="180" spans="1:19" x14ac:dyDescent="0.2">
      <c r="A180" s="572"/>
      <c r="B180" s="613"/>
      <c r="C180" s="140" t="s">
        <v>648</v>
      </c>
      <c r="D180" s="78">
        <v>1.2</v>
      </c>
      <c r="E180" s="547"/>
      <c r="F180" s="553"/>
      <c r="G180" s="63" t="s">
        <v>1514</v>
      </c>
      <c r="H180" s="550"/>
      <c r="I180" s="597"/>
      <c r="J180" s="597"/>
      <c r="K180" s="630"/>
      <c r="L180" s="575"/>
      <c r="M180" s="575"/>
      <c r="N180" s="671"/>
      <c r="O180" s="694"/>
      <c r="P180" s="583"/>
      <c r="Q180" s="572"/>
      <c r="R180" s="547"/>
      <c r="S180" s="671"/>
    </row>
    <row r="181" spans="1:19" x14ac:dyDescent="0.2">
      <c r="A181" s="572"/>
      <c r="B181" s="613"/>
      <c r="C181" s="140" t="s">
        <v>1926</v>
      </c>
      <c r="D181" s="78">
        <v>2.7</v>
      </c>
      <c r="E181" s="547"/>
      <c r="F181" s="553"/>
      <c r="G181" s="63" t="s">
        <v>1515</v>
      </c>
      <c r="H181" s="550"/>
      <c r="I181" s="597"/>
      <c r="J181" s="597"/>
      <c r="K181" s="630"/>
      <c r="L181" s="575"/>
      <c r="M181" s="575"/>
      <c r="N181" s="671"/>
      <c r="O181" s="694"/>
      <c r="P181" s="583"/>
      <c r="Q181" s="572"/>
      <c r="R181" s="547"/>
      <c r="S181" s="671"/>
    </row>
    <row r="182" spans="1:19" x14ac:dyDescent="0.2">
      <c r="A182" s="572"/>
      <c r="B182" s="559"/>
      <c r="C182" s="140" t="s">
        <v>1927</v>
      </c>
      <c r="D182" s="78">
        <v>2.5</v>
      </c>
      <c r="E182" s="548"/>
      <c r="F182" s="554"/>
      <c r="G182" s="63" t="s">
        <v>1516</v>
      </c>
      <c r="H182" s="551"/>
      <c r="I182" s="598"/>
      <c r="J182" s="598"/>
      <c r="K182" s="627"/>
      <c r="L182" s="576"/>
      <c r="M182" s="576"/>
      <c r="N182" s="672"/>
      <c r="O182" s="695"/>
      <c r="P182" s="623"/>
      <c r="Q182" s="573"/>
      <c r="R182" s="548"/>
      <c r="S182" s="672"/>
    </row>
    <row r="183" spans="1:19" x14ac:dyDescent="0.2">
      <c r="A183" s="573"/>
      <c r="B183" s="138"/>
      <c r="C183" s="140"/>
      <c r="D183" s="95">
        <f>SUM(D178:D182)</f>
        <v>13.349999999999998</v>
      </c>
      <c r="E183" s="136"/>
      <c r="F183" s="24"/>
      <c r="G183" s="63"/>
      <c r="H183" s="130"/>
      <c r="I183" s="81"/>
      <c r="J183" s="81"/>
      <c r="K183" s="82"/>
      <c r="L183" s="152"/>
      <c r="M183" s="153"/>
      <c r="N183" s="153"/>
      <c r="O183" s="140"/>
      <c r="P183" s="140"/>
      <c r="Q183" s="80"/>
      <c r="R183" s="136"/>
      <c r="S183" s="153"/>
    </row>
    <row r="184" spans="1:19" x14ac:dyDescent="0.2">
      <c r="A184" s="571"/>
      <c r="B184" s="558" t="s">
        <v>1474</v>
      </c>
      <c r="C184" s="140" t="s">
        <v>1474</v>
      </c>
      <c r="D184" s="90">
        <v>6.6</v>
      </c>
      <c r="E184" s="546" t="s">
        <v>655</v>
      </c>
      <c r="F184" s="552" t="s">
        <v>246</v>
      </c>
      <c r="G184" s="62" t="s">
        <v>1517</v>
      </c>
      <c r="H184" s="549" t="s">
        <v>1003</v>
      </c>
      <c r="I184" s="599">
        <v>40456</v>
      </c>
      <c r="J184" s="599">
        <v>40493</v>
      </c>
      <c r="K184" s="686">
        <v>40612</v>
      </c>
      <c r="L184" s="588">
        <v>35888.480000000003</v>
      </c>
      <c r="M184" s="588">
        <v>32744.45</v>
      </c>
      <c r="N184" s="543">
        <v>100</v>
      </c>
      <c r="O184" s="665" t="s">
        <v>768</v>
      </c>
      <c r="P184" s="582"/>
      <c r="Q184" s="571"/>
      <c r="R184" s="546" t="s">
        <v>271</v>
      </c>
      <c r="S184" s="600">
        <v>1</v>
      </c>
    </row>
    <row r="185" spans="1:19" x14ac:dyDescent="0.2">
      <c r="A185" s="572"/>
      <c r="B185" s="613"/>
      <c r="C185" s="140" t="s">
        <v>1928</v>
      </c>
      <c r="D185" s="78">
        <v>6.6</v>
      </c>
      <c r="E185" s="547"/>
      <c r="F185" s="553"/>
      <c r="G185" s="62" t="s">
        <v>1518</v>
      </c>
      <c r="H185" s="550"/>
      <c r="I185" s="597"/>
      <c r="J185" s="597"/>
      <c r="K185" s="630"/>
      <c r="L185" s="586"/>
      <c r="M185" s="586"/>
      <c r="N185" s="544"/>
      <c r="O185" s="692"/>
      <c r="P185" s="583"/>
      <c r="Q185" s="572"/>
      <c r="R185" s="547"/>
      <c r="S185" s="601"/>
    </row>
    <row r="186" spans="1:19" x14ac:dyDescent="0.2">
      <c r="A186" s="572"/>
      <c r="B186" s="559"/>
      <c r="C186" s="140" t="s">
        <v>958</v>
      </c>
      <c r="D186" s="78">
        <v>4.3</v>
      </c>
      <c r="E186" s="548"/>
      <c r="F186" s="554"/>
      <c r="G186" s="62" t="s">
        <v>1519</v>
      </c>
      <c r="H186" s="551"/>
      <c r="I186" s="598"/>
      <c r="J186" s="598"/>
      <c r="K186" s="627"/>
      <c r="L186" s="587"/>
      <c r="M186" s="587"/>
      <c r="N186" s="545"/>
      <c r="O186" s="666"/>
      <c r="P186" s="623"/>
      <c r="Q186" s="573"/>
      <c r="R186" s="548"/>
      <c r="S186" s="602"/>
    </row>
    <row r="187" spans="1:19" ht="12.75" customHeight="1" x14ac:dyDescent="0.2">
      <c r="A187" s="573"/>
      <c r="B187" s="138"/>
      <c r="C187" s="139"/>
      <c r="D187" s="95">
        <f>SUM(D184:D186)</f>
        <v>17.5</v>
      </c>
      <c r="E187" s="136"/>
      <c r="F187" s="36"/>
      <c r="G187" s="75"/>
      <c r="H187" s="130"/>
      <c r="I187" s="76"/>
      <c r="J187" s="76"/>
      <c r="K187" s="77"/>
      <c r="L187" s="151"/>
      <c r="M187" s="149"/>
      <c r="N187" s="149"/>
      <c r="O187" s="139"/>
      <c r="P187" s="139"/>
      <c r="Q187" s="67"/>
      <c r="R187" s="136"/>
      <c r="S187" s="149"/>
    </row>
    <row r="188" spans="1:19" ht="23.25" customHeight="1" x14ac:dyDescent="0.2">
      <c r="A188" s="571"/>
      <c r="B188" s="558" t="s">
        <v>2085</v>
      </c>
      <c r="C188" s="140" t="s">
        <v>2085</v>
      </c>
      <c r="D188" s="90">
        <v>3</v>
      </c>
      <c r="E188" s="546" t="s">
        <v>902</v>
      </c>
      <c r="F188" s="552" t="s">
        <v>246</v>
      </c>
      <c r="G188" s="63" t="s">
        <v>1382</v>
      </c>
      <c r="H188" s="549" t="s">
        <v>1004</v>
      </c>
      <c r="I188" s="599">
        <v>40456</v>
      </c>
      <c r="J188" s="599">
        <v>40527</v>
      </c>
      <c r="K188" s="686">
        <v>40617</v>
      </c>
      <c r="L188" s="588">
        <v>22924.799999999999</v>
      </c>
      <c r="M188" s="588">
        <v>20896.91</v>
      </c>
      <c r="N188" s="600">
        <v>100</v>
      </c>
      <c r="O188" s="580" t="s">
        <v>536</v>
      </c>
      <c r="P188" s="580"/>
      <c r="Q188" s="571"/>
      <c r="R188" s="546" t="s">
        <v>271</v>
      </c>
      <c r="S188" s="600">
        <v>1</v>
      </c>
    </row>
    <row r="189" spans="1:19" ht="23.25" customHeight="1" x14ac:dyDescent="0.2">
      <c r="A189" s="572"/>
      <c r="B189" s="613"/>
      <c r="C189" s="227" t="s">
        <v>1877</v>
      </c>
      <c r="D189" s="90">
        <v>1.05</v>
      </c>
      <c r="E189" s="547"/>
      <c r="F189" s="553"/>
      <c r="G189" s="63" t="s">
        <v>1912</v>
      </c>
      <c r="H189" s="550"/>
      <c r="I189" s="597"/>
      <c r="J189" s="597"/>
      <c r="K189" s="630"/>
      <c r="L189" s="586"/>
      <c r="M189" s="586"/>
      <c r="N189" s="601"/>
      <c r="O189" s="581"/>
      <c r="P189" s="581"/>
      <c r="Q189" s="572"/>
      <c r="R189" s="547"/>
      <c r="S189" s="601"/>
    </row>
    <row r="190" spans="1:19" ht="20.25" customHeight="1" x14ac:dyDescent="0.2">
      <c r="A190" s="572"/>
      <c r="B190" s="559"/>
      <c r="C190" s="145" t="s">
        <v>959</v>
      </c>
      <c r="D190" s="78">
        <v>8</v>
      </c>
      <c r="E190" s="548"/>
      <c r="F190" s="554"/>
      <c r="G190" s="63" t="s">
        <v>1383</v>
      </c>
      <c r="H190" s="551"/>
      <c r="I190" s="597"/>
      <c r="J190" s="597"/>
      <c r="K190" s="630"/>
      <c r="L190" s="586"/>
      <c r="M190" s="586"/>
      <c r="N190" s="601"/>
      <c r="O190" s="605"/>
      <c r="P190" s="605"/>
      <c r="Q190" s="573"/>
      <c r="R190" s="548"/>
      <c r="S190" s="601"/>
    </row>
    <row r="191" spans="1:19" x14ac:dyDescent="0.2">
      <c r="A191" s="573"/>
      <c r="B191" s="138"/>
      <c r="C191" s="140"/>
      <c r="D191" s="95">
        <f>SUM(D188:D190)</f>
        <v>12.05</v>
      </c>
      <c r="E191" s="136"/>
      <c r="F191" s="24"/>
      <c r="G191" s="63"/>
      <c r="H191" s="130"/>
      <c r="I191" s="81"/>
      <c r="J191" s="81"/>
      <c r="K191" s="82"/>
      <c r="L191" s="152"/>
      <c r="M191" s="153"/>
      <c r="N191" s="153"/>
      <c r="O191" s="140"/>
      <c r="P191" s="140"/>
      <c r="Q191" s="80"/>
      <c r="R191" s="136"/>
      <c r="S191" s="153"/>
    </row>
    <row r="192" spans="1:19" x14ac:dyDescent="0.2">
      <c r="A192" s="571"/>
      <c r="B192" s="558" t="s">
        <v>2086</v>
      </c>
      <c r="C192" s="145" t="s">
        <v>2086</v>
      </c>
      <c r="D192" s="90">
        <v>8</v>
      </c>
      <c r="E192" s="546" t="s">
        <v>942</v>
      </c>
      <c r="F192" s="552" t="s">
        <v>246</v>
      </c>
      <c r="G192" s="63" t="s">
        <v>1384</v>
      </c>
      <c r="H192" s="549" t="s">
        <v>775</v>
      </c>
      <c r="I192" s="599">
        <v>40456</v>
      </c>
      <c r="J192" s="599">
        <v>40513</v>
      </c>
      <c r="K192" s="686">
        <v>40634</v>
      </c>
      <c r="L192" s="588">
        <v>38480.400000000001</v>
      </c>
      <c r="M192" s="588">
        <v>36399.9</v>
      </c>
      <c r="N192" s="543">
        <v>100</v>
      </c>
      <c r="O192" s="696" t="s">
        <v>1522</v>
      </c>
      <c r="P192" s="662"/>
      <c r="Q192" s="571"/>
      <c r="R192" s="546" t="s">
        <v>271</v>
      </c>
      <c r="S192" s="667"/>
    </row>
    <row r="193" spans="1:19" x14ac:dyDescent="0.2">
      <c r="A193" s="572"/>
      <c r="B193" s="613"/>
      <c r="C193" s="145" t="s">
        <v>960</v>
      </c>
      <c r="D193" s="78">
        <v>7.5</v>
      </c>
      <c r="E193" s="547"/>
      <c r="F193" s="553"/>
      <c r="G193" s="63" t="s">
        <v>1384</v>
      </c>
      <c r="H193" s="550"/>
      <c r="I193" s="597"/>
      <c r="J193" s="597"/>
      <c r="K193" s="630"/>
      <c r="L193" s="586"/>
      <c r="M193" s="586"/>
      <c r="N193" s="544"/>
      <c r="O193" s="697"/>
      <c r="P193" s="663"/>
      <c r="Q193" s="572"/>
      <c r="R193" s="547"/>
      <c r="S193" s="668"/>
    </row>
    <row r="194" spans="1:19" x14ac:dyDescent="0.2">
      <c r="A194" s="572"/>
      <c r="B194" s="613"/>
      <c r="C194" s="227" t="s">
        <v>2254</v>
      </c>
      <c r="D194" s="78">
        <v>2</v>
      </c>
      <c r="E194" s="547"/>
      <c r="F194" s="553"/>
      <c r="G194" s="63" t="s">
        <v>1501</v>
      </c>
      <c r="H194" s="550"/>
      <c r="I194" s="597"/>
      <c r="J194" s="597"/>
      <c r="K194" s="630"/>
      <c r="L194" s="586"/>
      <c r="M194" s="586"/>
      <c r="N194" s="544"/>
      <c r="O194" s="697"/>
      <c r="P194" s="663"/>
      <c r="Q194" s="572"/>
      <c r="R194" s="547"/>
      <c r="S194" s="668"/>
    </row>
    <row r="195" spans="1:19" x14ac:dyDescent="0.2">
      <c r="A195" s="572"/>
      <c r="B195" s="559"/>
      <c r="C195" s="51" t="s">
        <v>961</v>
      </c>
      <c r="D195" s="78">
        <v>3.5</v>
      </c>
      <c r="E195" s="548"/>
      <c r="F195" s="554"/>
      <c r="G195" s="63" t="s">
        <v>1385</v>
      </c>
      <c r="H195" s="551"/>
      <c r="I195" s="597"/>
      <c r="J195" s="597"/>
      <c r="K195" s="630"/>
      <c r="L195" s="586"/>
      <c r="M195" s="586"/>
      <c r="N195" s="545"/>
      <c r="O195" s="698"/>
      <c r="P195" s="664"/>
      <c r="Q195" s="573"/>
      <c r="R195" s="548"/>
      <c r="S195" s="669"/>
    </row>
    <row r="196" spans="1:19" x14ac:dyDescent="0.2">
      <c r="A196" s="573"/>
      <c r="B196" s="138"/>
      <c r="C196" s="140"/>
      <c r="D196" s="95">
        <f>SUM(D192:D195)</f>
        <v>21</v>
      </c>
      <c r="E196" s="136"/>
      <c r="F196" s="24"/>
      <c r="G196" s="63"/>
      <c r="H196" s="132"/>
      <c r="I196" s="81"/>
      <c r="J196" s="81"/>
      <c r="K196" s="82"/>
      <c r="L196" s="152"/>
      <c r="M196" s="153"/>
      <c r="N196" s="153"/>
      <c r="O196" s="140"/>
      <c r="P196" s="140"/>
      <c r="Q196" s="66"/>
      <c r="R196" s="136"/>
      <c r="S196" s="153"/>
    </row>
    <row r="197" spans="1:19" x14ac:dyDescent="0.2">
      <c r="A197" s="571"/>
      <c r="B197" s="558" t="s">
        <v>1028</v>
      </c>
      <c r="C197" s="140" t="s">
        <v>1028</v>
      </c>
      <c r="D197" s="90">
        <v>11</v>
      </c>
      <c r="E197" s="546" t="s">
        <v>942</v>
      </c>
      <c r="F197" s="552" t="s">
        <v>246</v>
      </c>
      <c r="G197" s="62" t="s">
        <v>708</v>
      </c>
      <c r="H197" s="552" t="s">
        <v>776</v>
      </c>
      <c r="I197" s="599">
        <v>40456</v>
      </c>
      <c r="J197" s="599">
        <v>40525</v>
      </c>
      <c r="K197" s="686">
        <v>40646</v>
      </c>
      <c r="L197" s="588">
        <v>49889.52</v>
      </c>
      <c r="M197" s="588">
        <v>47981</v>
      </c>
      <c r="N197" s="543">
        <v>100</v>
      </c>
      <c r="O197" s="580" t="s">
        <v>935</v>
      </c>
      <c r="P197" s="580" t="s">
        <v>1283</v>
      </c>
      <c r="Q197" s="571"/>
      <c r="R197" s="546" t="s">
        <v>271</v>
      </c>
      <c r="S197" s="543"/>
    </row>
    <row r="198" spans="1:19" x14ac:dyDescent="0.2">
      <c r="A198" s="572"/>
      <c r="B198" s="613"/>
      <c r="C198" s="140" t="s">
        <v>1657</v>
      </c>
      <c r="D198" s="78">
        <v>9.1999999999999993</v>
      </c>
      <c r="E198" s="547"/>
      <c r="F198" s="553"/>
      <c r="G198" s="63" t="s">
        <v>155</v>
      </c>
      <c r="H198" s="553"/>
      <c r="I198" s="597"/>
      <c r="J198" s="597"/>
      <c r="K198" s="630"/>
      <c r="L198" s="586"/>
      <c r="M198" s="586"/>
      <c r="N198" s="544"/>
      <c r="O198" s="581"/>
      <c r="P198" s="581"/>
      <c r="Q198" s="572"/>
      <c r="R198" s="547"/>
      <c r="S198" s="544"/>
    </row>
    <row r="199" spans="1:19" x14ac:dyDescent="0.2">
      <c r="A199" s="572"/>
      <c r="B199" s="613"/>
      <c r="C199" s="227" t="s">
        <v>1139</v>
      </c>
      <c r="D199" s="78">
        <v>1.7</v>
      </c>
      <c r="E199" s="547"/>
      <c r="F199" s="553"/>
      <c r="G199" s="63"/>
      <c r="H199" s="553"/>
      <c r="I199" s="597"/>
      <c r="J199" s="597"/>
      <c r="K199" s="630"/>
      <c r="L199" s="586"/>
      <c r="M199" s="586"/>
      <c r="N199" s="544"/>
      <c r="O199" s="581"/>
      <c r="P199" s="581"/>
      <c r="Q199" s="572"/>
      <c r="R199" s="547"/>
      <c r="S199" s="544"/>
    </row>
    <row r="200" spans="1:19" x14ac:dyDescent="0.2">
      <c r="A200" s="572"/>
      <c r="B200" s="613"/>
      <c r="C200" s="227" t="s">
        <v>1990</v>
      </c>
      <c r="D200" s="78">
        <v>0.4</v>
      </c>
      <c r="E200" s="547"/>
      <c r="F200" s="553"/>
      <c r="G200" s="63"/>
      <c r="H200" s="553"/>
      <c r="I200" s="597"/>
      <c r="J200" s="597"/>
      <c r="K200" s="630"/>
      <c r="L200" s="586"/>
      <c r="M200" s="586"/>
      <c r="N200" s="544"/>
      <c r="O200" s="581"/>
      <c r="P200" s="581"/>
      <c r="Q200" s="572"/>
      <c r="R200" s="547"/>
      <c r="S200" s="544"/>
    </row>
    <row r="201" spans="1:19" x14ac:dyDescent="0.2">
      <c r="A201" s="572"/>
      <c r="B201" s="559"/>
      <c r="C201" s="145" t="s">
        <v>1658</v>
      </c>
      <c r="D201" s="78">
        <v>4.5</v>
      </c>
      <c r="E201" s="548"/>
      <c r="F201" s="554"/>
      <c r="G201" s="62" t="s">
        <v>156</v>
      </c>
      <c r="H201" s="554"/>
      <c r="I201" s="597"/>
      <c r="J201" s="597"/>
      <c r="K201" s="630"/>
      <c r="L201" s="586"/>
      <c r="M201" s="586"/>
      <c r="N201" s="544"/>
      <c r="O201" s="581"/>
      <c r="P201" s="581"/>
      <c r="Q201" s="573"/>
      <c r="R201" s="548"/>
      <c r="S201" s="544"/>
    </row>
    <row r="202" spans="1:19" x14ac:dyDescent="0.2">
      <c r="A202" s="573"/>
      <c r="B202" s="138"/>
      <c r="C202" s="146"/>
      <c r="D202" s="95">
        <f>SUM(D197:D201)</f>
        <v>26.799999999999997</v>
      </c>
      <c r="E202" s="136"/>
      <c r="F202" s="24"/>
      <c r="G202" s="62"/>
      <c r="H202" s="132"/>
      <c r="I202" s="81"/>
      <c r="J202" s="81"/>
      <c r="K202" s="82"/>
      <c r="L202" s="152"/>
      <c r="M202" s="153"/>
      <c r="N202" s="153"/>
      <c r="O202" s="140"/>
      <c r="P202" s="140"/>
      <c r="Q202" s="68"/>
      <c r="R202" s="136"/>
      <c r="S202" s="153"/>
    </row>
    <row r="203" spans="1:19" x14ac:dyDescent="0.2">
      <c r="A203" s="571"/>
      <c r="B203" s="558" t="s">
        <v>2056</v>
      </c>
      <c r="C203" s="225" t="s">
        <v>2056</v>
      </c>
      <c r="D203" s="90">
        <v>2.9</v>
      </c>
      <c r="E203" s="543" t="s">
        <v>841</v>
      </c>
      <c r="F203" s="552" t="s">
        <v>246</v>
      </c>
      <c r="G203" s="63" t="s">
        <v>1912</v>
      </c>
      <c r="H203" s="552" t="s">
        <v>1547</v>
      </c>
      <c r="I203" s="599">
        <v>40456</v>
      </c>
      <c r="J203" s="599">
        <v>40570</v>
      </c>
      <c r="K203" s="686">
        <v>40660</v>
      </c>
      <c r="L203" s="588">
        <v>27199.439999999999</v>
      </c>
      <c r="M203" s="588">
        <v>22631.62</v>
      </c>
      <c r="N203" s="543">
        <v>100</v>
      </c>
      <c r="O203" s="699" t="s">
        <v>591</v>
      </c>
      <c r="P203" s="592"/>
      <c r="Q203" s="571"/>
      <c r="R203" s="543" t="s">
        <v>271</v>
      </c>
      <c r="S203" s="588"/>
    </row>
    <row r="204" spans="1:19" x14ac:dyDescent="0.2">
      <c r="A204" s="572"/>
      <c r="B204" s="613"/>
      <c r="C204" s="140" t="s">
        <v>1064</v>
      </c>
      <c r="D204" s="78">
        <v>4</v>
      </c>
      <c r="E204" s="544"/>
      <c r="F204" s="553"/>
      <c r="G204" s="63" t="s">
        <v>1912</v>
      </c>
      <c r="H204" s="553"/>
      <c r="I204" s="597"/>
      <c r="J204" s="597"/>
      <c r="K204" s="630"/>
      <c r="L204" s="586"/>
      <c r="M204" s="586"/>
      <c r="N204" s="544"/>
      <c r="O204" s="700"/>
      <c r="P204" s="701"/>
      <c r="Q204" s="572"/>
      <c r="R204" s="544"/>
      <c r="S204" s="586"/>
    </row>
    <row r="205" spans="1:19" x14ac:dyDescent="0.2">
      <c r="A205" s="572"/>
      <c r="B205" s="559"/>
      <c r="C205" s="140" t="s">
        <v>1065</v>
      </c>
      <c r="D205" s="78">
        <v>6</v>
      </c>
      <c r="E205" s="545"/>
      <c r="F205" s="554"/>
      <c r="G205" s="62" t="s">
        <v>157</v>
      </c>
      <c r="H205" s="554"/>
      <c r="I205" s="597"/>
      <c r="J205" s="597"/>
      <c r="K205" s="630"/>
      <c r="L205" s="586"/>
      <c r="M205" s="586"/>
      <c r="N205" s="544"/>
      <c r="O205" s="700"/>
      <c r="P205" s="702"/>
      <c r="Q205" s="573"/>
      <c r="R205" s="545"/>
      <c r="S205" s="586"/>
    </row>
    <row r="206" spans="1:19" s="105" customFormat="1" x14ac:dyDescent="0.2">
      <c r="A206" s="573"/>
      <c r="B206" s="131"/>
      <c r="C206" s="140"/>
      <c r="D206" s="95">
        <f>SUM(D203:D205)</f>
        <v>12.9</v>
      </c>
      <c r="E206" s="151"/>
      <c r="F206" s="24"/>
      <c r="G206" s="62"/>
      <c r="H206" s="36"/>
      <c r="I206" s="81"/>
      <c r="J206" s="81"/>
      <c r="K206" s="82"/>
      <c r="L206" s="152"/>
      <c r="M206" s="153"/>
      <c r="N206" s="153"/>
      <c r="O206" s="140"/>
      <c r="P206" s="140"/>
      <c r="Q206" s="67"/>
      <c r="R206" s="151"/>
      <c r="S206" s="153"/>
    </row>
    <row r="207" spans="1:19" ht="45" x14ac:dyDescent="0.2">
      <c r="A207" s="572"/>
      <c r="B207" s="131" t="s">
        <v>2092</v>
      </c>
      <c r="C207" s="139" t="s">
        <v>2092</v>
      </c>
      <c r="D207" s="78">
        <v>12</v>
      </c>
      <c r="E207" s="151" t="s">
        <v>533</v>
      </c>
      <c r="F207" s="36" t="s">
        <v>246</v>
      </c>
      <c r="G207" s="75" t="s">
        <v>158</v>
      </c>
      <c r="H207" s="36" t="s">
        <v>135</v>
      </c>
      <c r="I207" s="72">
        <v>40456</v>
      </c>
      <c r="J207" s="72">
        <v>40514</v>
      </c>
      <c r="K207" s="85">
        <v>40604</v>
      </c>
      <c r="L207" s="156">
        <v>24945.200000000001</v>
      </c>
      <c r="M207" s="156">
        <v>22844</v>
      </c>
      <c r="N207" s="151">
        <v>100</v>
      </c>
      <c r="O207" s="116" t="s">
        <v>591</v>
      </c>
      <c r="P207" s="175"/>
      <c r="Q207" s="67"/>
      <c r="R207" s="151" t="s">
        <v>271</v>
      </c>
      <c r="S207" s="151">
        <v>1</v>
      </c>
    </row>
    <row r="208" spans="1:19" x14ac:dyDescent="0.2">
      <c r="A208" s="573"/>
      <c r="B208" s="138"/>
      <c r="C208" s="140"/>
      <c r="D208" s="95">
        <f>SUM(D207)</f>
        <v>12</v>
      </c>
      <c r="E208" s="16"/>
      <c r="F208" s="24"/>
      <c r="G208" s="63"/>
      <c r="H208" s="132"/>
      <c r="I208" s="81"/>
      <c r="J208" s="81"/>
      <c r="K208" s="82"/>
      <c r="L208" s="152"/>
      <c r="M208" s="153"/>
      <c r="N208" s="153"/>
      <c r="O208" s="140"/>
      <c r="P208" s="140"/>
      <c r="Q208" s="68"/>
      <c r="R208" s="16"/>
      <c r="S208" s="153"/>
    </row>
    <row r="209" spans="1:19" x14ac:dyDescent="0.2">
      <c r="A209" s="571"/>
      <c r="B209" s="558" t="s">
        <v>2037</v>
      </c>
      <c r="C209" s="140" t="s">
        <v>2037</v>
      </c>
      <c r="D209" s="90">
        <v>9.1999999999999993</v>
      </c>
      <c r="E209" s="543" t="s">
        <v>1538</v>
      </c>
      <c r="F209" s="552" t="s">
        <v>246</v>
      </c>
      <c r="G209" s="62" t="s">
        <v>1904</v>
      </c>
      <c r="H209" s="558" t="s">
        <v>1681</v>
      </c>
      <c r="I209" s="599">
        <v>40456</v>
      </c>
      <c r="J209" s="599">
        <v>40618</v>
      </c>
      <c r="K209" s="686">
        <v>40710</v>
      </c>
      <c r="L209" s="588">
        <v>27145.919999999998</v>
      </c>
      <c r="M209" s="588"/>
      <c r="N209" s="543"/>
      <c r="O209" s="580"/>
      <c r="P209" s="580"/>
      <c r="Q209" s="571"/>
      <c r="R209" s="543" t="s">
        <v>271</v>
      </c>
      <c r="S209" s="543"/>
    </row>
    <row r="210" spans="1:19" s="105" customFormat="1" x14ac:dyDescent="0.2">
      <c r="A210" s="572"/>
      <c r="B210" s="559"/>
      <c r="C210" s="140" t="s">
        <v>1067</v>
      </c>
      <c r="D210" s="78">
        <v>4.4000000000000004</v>
      </c>
      <c r="E210" s="545"/>
      <c r="F210" s="554"/>
      <c r="G210" s="62" t="s">
        <v>1905</v>
      </c>
      <c r="H210" s="559"/>
      <c r="I210" s="598"/>
      <c r="J210" s="598"/>
      <c r="K210" s="627"/>
      <c r="L210" s="587"/>
      <c r="M210" s="587"/>
      <c r="N210" s="545"/>
      <c r="O210" s="605"/>
      <c r="P210" s="605"/>
      <c r="Q210" s="573"/>
      <c r="R210" s="545"/>
      <c r="S210" s="545"/>
    </row>
    <row r="211" spans="1:19" x14ac:dyDescent="0.2">
      <c r="A211" s="573"/>
      <c r="B211" s="138"/>
      <c r="C211" s="139"/>
      <c r="D211" s="95">
        <f>SUM(D209:D210)</f>
        <v>13.6</v>
      </c>
      <c r="E211" s="16"/>
      <c r="F211" s="36"/>
      <c r="G211" s="75"/>
      <c r="H211" s="132"/>
      <c r="I211" s="76"/>
      <c r="J211" s="76"/>
      <c r="K211" s="77"/>
      <c r="L211" s="151"/>
      <c r="M211" s="149"/>
      <c r="N211" s="149"/>
      <c r="O211" s="139"/>
      <c r="P211" s="139"/>
      <c r="Q211" s="68"/>
      <c r="R211" s="16"/>
      <c r="S211" s="149"/>
    </row>
    <row r="212" spans="1:19" x14ac:dyDescent="0.2">
      <c r="A212" s="571"/>
      <c r="B212" s="558" t="s">
        <v>2038</v>
      </c>
      <c r="C212" s="140" t="s">
        <v>2038</v>
      </c>
      <c r="D212" s="90">
        <v>12.5</v>
      </c>
      <c r="E212" s="543" t="s">
        <v>1676</v>
      </c>
      <c r="F212" s="552" t="s">
        <v>246</v>
      </c>
      <c r="G212" s="63" t="s">
        <v>1906</v>
      </c>
      <c r="H212" s="552" t="s">
        <v>429</v>
      </c>
      <c r="I212" s="599">
        <v>40456</v>
      </c>
      <c r="J212" s="599">
        <v>40473</v>
      </c>
      <c r="K212" s="686">
        <v>40596</v>
      </c>
      <c r="L212" s="574">
        <v>45168</v>
      </c>
      <c r="M212" s="574">
        <v>43282.9</v>
      </c>
      <c r="N212" s="543">
        <v>100</v>
      </c>
      <c r="O212" s="665" t="s">
        <v>1154</v>
      </c>
      <c r="P212" s="580"/>
      <c r="Q212" s="563"/>
      <c r="R212" s="543" t="s">
        <v>271</v>
      </c>
      <c r="S212" s="543">
        <v>1</v>
      </c>
    </row>
    <row r="213" spans="1:19" x14ac:dyDescent="0.2">
      <c r="A213" s="572"/>
      <c r="B213" s="613"/>
      <c r="C213" s="140" t="s">
        <v>1068</v>
      </c>
      <c r="D213" s="78">
        <v>6.7</v>
      </c>
      <c r="E213" s="544"/>
      <c r="F213" s="553"/>
      <c r="G213" s="63" t="s">
        <v>1737</v>
      </c>
      <c r="H213" s="553"/>
      <c r="I213" s="597"/>
      <c r="J213" s="597"/>
      <c r="K213" s="630"/>
      <c r="L213" s="575"/>
      <c r="M213" s="575"/>
      <c r="N213" s="544"/>
      <c r="O213" s="692"/>
      <c r="P213" s="581"/>
      <c r="Q213" s="659"/>
      <c r="R213" s="544"/>
      <c r="S213" s="544"/>
    </row>
    <row r="214" spans="1:19" ht="12.75" customHeight="1" x14ac:dyDescent="0.2">
      <c r="A214" s="572"/>
      <c r="B214" s="613"/>
      <c r="C214" s="140" t="s">
        <v>1599</v>
      </c>
      <c r="D214" s="78">
        <v>4</v>
      </c>
      <c r="E214" s="544"/>
      <c r="F214" s="553"/>
      <c r="G214" s="63" t="s">
        <v>1738</v>
      </c>
      <c r="H214" s="553"/>
      <c r="I214" s="597"/>
      <c r="J214" s="597"/>
      <c r="K214" s="630"/>
      <c r="L214" s="575"/>
      <c r="M214" s="575"/>
      <c r="N214" s="544"/>
      <c r="O214" s="692"/>
      <c r="P214" s="581"/>
      <c r="Q214" s="659"/>
      <c r="R214" s="544"/>
      <c r="S214" s="544"/>
    </row>
    <row r="215" spans="1:19" ht="15.75" customHeight="1" x14ac:dyDescent="0.2">
      <c r="A215" s="572"/>
      <c r="B215" s="559"/>
      <c r="C215" s="230" t="s">
        <v>1600</v>
      </c>
      <c r="D215" s="78">
        <v>2.8</v>
      </c>
      <c r="E215" s="545"/>
      <c r="F215" s="554"/>
      <c r="G215" s="63" t="s">
        <v>955</v>
      </c>
      <c r="H215" s="554"/>
      <c r="I215" s="598"/>
      <c r="J215" s="598"/>
      <c r="K215" s="627"/>
      <c r="L215" s="576"/>
      <c r="M215" s="576"/>
      <c r="N215" s="545"/>
      <c r="O215" s="666"/>
      <c r="P215" s="605"/>
      <c r="Q215" s="564"/>
      <c r="R215" s="545"/>
      <c r="S215" s="545"/>
    </row>
    <row r="216" spans="1:19" ht="15.75" x14ac:dyDescent="0.25">
      <c r="A216" s="573"/>
      <c r="B216" s="180"/>
      <c r="C216" s="140"/>
      <c r="D216" s="95">
        <f>SUM(D212:D215)</f>
        <v>26</v>
      </c>
      <c r="E216" s="153"/>
      <c r="F216" s="24"/>
      <c r="G216" s="63"/>
      <c r="H216" s="24"/>
      <c r="I216" s="81"/>
      <c r="J216" s="81"/>
      <c r="K216" s="82"/>
      <c r="L216" s="152"/>
      <c r="M216" s="153"/>
      <c r="N216" s="153"/>
      <c r="O216" s="140"/>
      <c r="P216" s="140"/>
      <c r="Q216" s="80"/>
      <c r="R216" s="153"/>
      <c r="S216" s="153"/>
    </row>
    <row r="217" spans="1:19" x14ac:dyDescent="0.2">
      <c r="A217" s="571"/>
      <c r="B217" s="558" t="s">
        <v>2039</v>
      </c>
      <c r="C217" s="140" t="s">
        <v>2039</v>
      </c>
      <c r="D217" s="90">
        <v>6</v>
      </c>
      <c r="E217" s="543" t="s">
        <v>942</v>
      </c>
      <c r="F217" s="552" t="s">
        <v>246</v>
      </c>
      <c r="G217" s="63" t="s">
        <v>1499</v>
      </c>
      <c r="H217" s="549" t="s">
        <v>1547</v>
      </c>
      <c r="I217" s="595">
        <v>40456</v>
      </c>
      <c r="J217" s="595">
        <v>40570</v>
      </c>
      <c r="K217" s="626">
        <v>40690</v>
      </c>
      <c r="L217" s="574">
        <v>41864.639999999999</v>
      </c>
      <c r="M217" s="574">
        <v>34022.18</v>
      </c>
      <c r="N217" s="543">
        <v>100</v>
      </c>
      <c r="O217" s="699" t="s">
        <v>1522</v>
      </c>
      <c r="P217" s="662"/>
      <c r="Q217" s="571"/>
      <c r="R217" s="543" t="s">
        <v>271</v>
      </c>
      <c r="S217" s="667"/>
    </row>
    <row r="218" spans="1:19" x14ac:dyDescent="0.2">
      <c r="A218" s="572"/>
      <c r="B218" s="613"/>
      <c r="C218" s="140" t="s">
        <v>1167</v>
      </c>
      <c r="D218" s="90">
        <v>8.4</v>
      </c>
      <c r="E218" s="544"/>
      <c r="F218" s="553"/>
      <c r="G218" s="63" t="s">
        <v>1739</v>
      </c>
      <c r="H218" s="550"/>
      <c r="I218" s="596"/>
      <c r="J218" s="596"/>
      <c r="K218" s="629"/>
      <c r="L218" s="575"/>
      <c r="M218" s="575"/>
      <c r="N218" s="544"/>
      <c r="O218" s="700"/>
      <c r="P218" s="663"/>
      <c r="Q218" s="572"/>
      <c r="R218" s="544"/>
      <c r="S218" s="668"/>
    </row>
    <row r="219" spans="1:19" x14ac:dyDescent="0.2">
      <c r="A219" s="572"/>
      <c r="B219" s="613"/>
      <c r="C219" s="145" t="s">
        <v>1951</v>
      </c>
      <c r="D219" s="78">
        <v>1</v>
      </c>
      <c r="E219" s="544"/>
      <c r="F219" s="553"/>
      <c r="G219" s="63" t="s">
        <v>1740</v>
      </c>
      <c r="H219" s="550"/>
      <c r="I219" s="597"/>
      <c r="J219" s="597"/>
      <c r="K219" s="630"/>
      <c r="L219" s="575"/>
      <c r="M219" s="575"/>
      <c r="N219" s="544"/>
      <c r="O219" s="700"/>
      <c r="P219" s="663"/>
      <c r="Q219" s="572"/>
      <c r="R219" s="544"/>
      <c r="S219" s="668"/>
    </row>
    <row r="220" spans="1:19" x14ac:dyDescent="0.2">
      <c r="A220" s="572"/>
      <c r="B220" s="559"/>
      <c r="C220" s="145" t="s">
        <v>636</v>
      </c>
      <c r="D220" s="78">
        <v>4.5</v>
      </c>
      <c r="E220" s="545"/>
      <c r="F220" s="554"/>
      <c r="G220" s="63" t="s">
        <v>1741</v>
      </c>
      <c r="H220" s="551"/>
      <c r="I220" s="598"/>
      <c r="J220" s="598"/>
      <c r="K220" s="627"/>
      <c r="L220" s="575"/>
      <c r="M220" s="576"/>
      <c r="N220" s="545"/>
      <c r="O220" s="703"/>
      <c r="P220" s="664"/>
      <c r="Q220" s="573"/>
      <c r="R220" s="545"/>
      <c r="S220" s="669"/>
    </row>
    <row r="221" spans="1:19" x14ac:dyDescent="0.2">
      <c r="A221" s="573"/>
      <c r="B221" s="138"/>
      <c r="C221" s="140"/>
      <c r="D221" s="95">
        <f>SUM(D217:D220)</f>
        <v>19.899999999999999</v>
      </c>
      <c r="E221" s="16"/>
      <c r="F221" s="24"/>
      <c r="G221" s="63"/>
      <c r="H221" s="130"/>
      <c r="I221" s="81"/>
      <c r="J221" s="81"/>
      <c r="K221" s="82"/>
      <c r="L221" s="152"/>
      <c r="M221" s="153"/>
      <c r="N221" s="153"/>
      <c r="O221" s="140"/>
      <c r="P221" s="140"/>
      <c r="Q221" s="80"/>
      <c r="R221" s="16"/>
      <c r="S221" s="153"/>
    </row>
    <row r="222" spans="1:19" x14ac:dyDescent="0.2">
      <c r="A222" s="571"/>
      <c r="B222" s="558" t="s">
        <v>837</v>
      </c>
      <c r="C222" s="140" t="s">
        <v>837</v>
      </c>
      <c r="D222" s="90">
        <v>4.0999999999999996</v>
      </c>
      <c r="E222" s="543" t="s">
        <v>655</v>
      </c>
      <c r="F222" s="552" t="s">
        <v>246</v>
      </c>
      <c r="G222" s="63" t="s">
        <v>1773</v>
      </c>
      <c r="H222" s="549" t="s">
        <v>220</v>
      </c>
      <c r="I222" s="589">
        <v>40456</v>
      </c>
      <c r="J222" s="589">
        <v>40525</v>
      </c>
      <c r="K222" s="577">
        <v>40646</v>
      </c>
      <c r="L222" s="588">
        <v>39282.239999999998</v>
      </c>
      <c r="M222" s="588"/>
      <c r="N222" s="543">
        <v>40</v>
      </c>
      <c r="O222" s="580" t="s">
        <v>1915</v>
      </c>
      <c r="P222" s="580"/>
      <c r="Q222" s="571"/>
      <c r="R222" s="543" t="s">
        <v>271</v>
      </c>
      <c r="S222" s="543"/>
    </row>
    <row r="223" spans="1:19" x14ac:dyDescent="0.2">
      <c r="A223" s="572"/>
      <c r="B223" s="613"/>
      <c r="C223" s="140" t="s">
        <v>6</v>
      </c>
      <c r="D223" s="90">
        <v>9.3000000000000007</v>
      </c>
      <c r="E223" s="544"/>
      <c r="F223" s="553"/>
      <c r="G223" s="63" t="s">
        <v>1774</v>
      </c>
      <c r="H223" s="550"/>
      <c r="I223" s="590"/>
      <c r="J223" s="590"/>
      <c r="K223" s="578"/>
      <c r="L223" s="586"/>
      <c r="M223" s="586"/>
      <c r="N223" s="544"/>
      <c r="O223" s="581"/>
      <c r="P223" s="581"/>
      <c r="Q223" s="572"/>
      <c r="R223" s="544"/>
      <c r="S223" s="544"/>
    </row>
    <row r="224" spans="1:19" x14ac:dyDescent="0.2">
      <c r="A224" s="572"/>
      <c r="B224" s="613"/>
      <c r="C224" s="140" t="s">
        <v>514</v>
      </c>
      <c r="D224" s="90">
        <v>1.5</v>
      </c>
      <c r="E224" s="544"/>
      <c r="F224" s="553"/>
      <c r="G224" s="63" t="s">
        <v>1597</v>
      </c>
      <c r="H224" s="550"/>
      <c r="I224" s="590"/>
      <c r="J224" s="590"/>
      <c r="K224" s="578"/>
      <c r="L224" s="586"/>
      <c r="M224" s="586"/>
      <c r="N224" s="544"/>
      <c r="O224" s="581"/>
      <c r="P224" s="581"/>
      <c r="Q224" s="572"/>
      <c r="R224" s="544"/>
      <c r="S224" s="544"/>
    </row>
    <row r="225" spans="1:19" x14ac:dyDescent="0.2">
      <c r="A225" s="572"/>
      <c r="B225" s="613"/>
      <c r="C225" s="140" t="s">
        <v>165</v>
      </c>
      <c r="D225" s="78">
        <v>0.5</v>
      </c>
      <c r="E225" s="544"/>
      <c r="F225" s="553"/>
      <c r="G225" s="63" t="s">
        <v>1243</v>
      </c>
      <c r="H225" s="550"/>
      <c r="I225" s="590"/>
      <c r="J225" s="590"/>
      <c r="K225" s="578"/>
      <c r="L225" s="586"/>
      <c r="M225" s="586"/>
      <c r="N225" s="544"/>
      <c r="O225" s="581"/>
      <c r="P225" s="581"/>
      <c r="Q225" s="572"/>
      <c r="R225" s="544"/>
      <c r="S225" s="544"/>
    </row>
    <row r="226" spans="1:19" x14ac:dyDescent="0.2">
      <c r="A226" s="572"/>
      <c r="B226" s="559"/>
      <c r="C226" s="140" t="s">
        <v>166</v>
      </c>
      <c r="D226" s="78">
        <v>2.6</v>
      </c>
      <c r="E226" s="545"/>
      <c r="F226" s="554"/>
      <c r="G226" s="63" t="s">
        <v>1485</v>
      </c>
      <c r="H226" s="551"/>
      <c r="I226" s="591"/>
      <c r="J226" s="591"/>
      <c r="K226" s="579"/>
      <c r="L226" s="586"/>
      <c r="M226" s="586"/>
      <c r="N226" s="544"/>
      <c r="O226" s="581"/>
      <c r="P226" s="581"/>
      <c r="Q226" s="573"/>
      <c r="R226" s="545"/>
      <c r="S226" s="544"/>
    </row>
    <row r="227" spans="1:19" x14ac:dyDescent="0.2">
      <c r="A227" s="573"/>
      <c r="B227" s="138"/>
      <c r="C227" s="140"/>
      <c r="D227" s="95">
        <f>SUM(D222:D226)</f>
        <v>18</v>
      </c>
      <c r="E227" s="16"/>
      <c r="F227" s="24"/>
      <c r="G227" s="63"/>
      <c r="H227" s="130"/>
      <c r="I227" s="81"/>
      <c r="J227" s="81"/>
      <c r="K227" s="82"/>
      <c r="L227" s="152"/>
      <c r="M227" s="153"/>
      <c r="N227" s="153"/>
      <c r="O227" s="140"/>
      <c r="P227" s="140"/>
      <c r="Q227" s="80"/>
      <c r="R227" s="16"/>
      <c r="S227" s="153"/>
    </row>
    <row r="228" spans="1:19" ht="21" customHeight="1" x14ac:dyDescent="0.2">
      <c r="A228" s="571"/>
      <c r="B228" s="558" t="s">
        <v>838</v>
      </c>
      <c r="C228" s="140" t="s">
        <v>838</v>
      </c>
      <c r="D228" s="90">
        <v>9.9</v>
      </c>
      <c r="E228" s="543" t="s">
        <v>942</v>
      </c>
      <c r="F228" s="552" t="s">
        <v>246</v>
      </c>
      <c r="G228" s="63" t="s">
        <v>2234</v>
      </c>
      <c r="H228" s="555" t="s">
        <v>1548</v>
      </c>
      <c r="I228" s="589">
        <v>40456</v>
      </c>
      <c r="J228" s="589">
        <v>40503</v>
      </c>
      <c r="K228" s="577">
        <v>40654</v>
      </c>
      <c r="L228" s="588">
        <v>43337.279999999999</v>
      </c>
      <c r="M228" s="588">
        <v>39133.72</v>
      </c>
      <c r="N228" s="543">
        <v>100</v>
      </c>
      <c r="O228" s="580" t="s">
        <v>938</v>
      </c>
      <c r="P228" s="580" t="s">
        <v>149</v>
      </c>
      <c r="Q228" s="571"/>
      <c r="R228" s="543" t="s">
        <v>271</v>
      </c>
      <c r="S228" s="543">
        <v>1</v>
      </c>
    </row>
    <row r="229" spans="1:19" ht="23.25" customHeight="1" x14ac:dyDescent="0.2">
      <c r="A229" s="572"/>
      <c r="B229" s="559"/>
      <c r="C229" s="140" t="s">
        <v>1386</v>
      </c>
      <c r="D229" s="78">
        <v>11</v>
      </c>
      <c r="E229" s="545"/>
      <c r="F229" s="554"/>
      <c r="G229" s="63" t="s">
        <v>2083</v>
      </c>
      <c r="H229" s="557"/>
      <c r="I229" s="591"/>
      <c r="J229" s="591"/>
      <c r="K229" s="579"/>
      <c r="L229" s="587"/>
      <c r="M229" s="587"/>
      <c r="N229" s="545"/>
      <c r="O229" s="581"/>
      <c r="P229" s="581"/>
      <c r="Q229" s="573"/>
      <c r="R229" s="545"/>
      <c r="S229" s="545"/>
    </row>
    <row r="230" spans="1:19" x14ac:dyDescent="0.2">
      <c r="A230" s="573"/>
      <c r="B230" s="138"/>
      <c r="C230" s="140"/>
      <c r="D230" s="95">
        <f>SUM(D228:D229)</f>
        <v>20.9</v>
      </c>
      <c r="E230" s="16"/>
      <c r="F230" s="24"/>
      <c r="G230" s="63"/>
      <c r="H230" s="130"/>
      <c r="I230" s="81"/>
      <c r="J230" s="81"/>
      <c r="K230" s="82"/>
      <c r="L230" s="152"/>
      <c r="M230" s="153"/>
      <c r="N230" s="153"/>
      <c r="O230" s="140"/>
      <c r="P230" s="140"/>
      <c r="Q230" s="80"/>
      <c r="R230" s="16"/>
      <c r="S230" s="153"/>
    </row>
    <row r="231" spans="1:19" x14ac:dyDescent="0.2">
      <c r="A231" s="571"/>
      <c r="B231" s="558" t="s">
        <v>839</v>
      </c>
      <c r="C231" s="140" t="s">
        <v>839</v>
      </c>
      <c r="D231" s="90">
        <v>5.2</v>
      </c>
      <c r="E231" s="543" t="s">
        <v>655</v>
      </c>
      <c r="F231" s="552" t="s">
        <v>246</v>
      </c>
      <c r="G231" s="63" t="s">
        <v>1244</v>
      </c>
      <c r="H231" s="549" t="s">
        <v>1549</v>
      </c>
      <c r="I231" s="595">
        <v>40456</v>
      </c>
      <c r="J231" s="595">
        <v>40553</v>
      </c>
      <c r="K231" s="626">
        <v>40673</v>
      </c>
      <c r="L231" s="588">
        <v>33933.599999999999</v>
      </c>
      <c r="M231" s="574">
        <v>26813.31</v>
      </c>
      <c r="N231" s="620">
        <v>100</v>
      </c>
      <c r="O231" s="582" t="s">
        <v>7</v>
      </c>
      <c r="P231" s="582"/>
      <c r="Q231" s="571"/>
      <c r="R231" s="543" t="s">
        <v>271</v>
      </c>
      <c r="S231" s="620">
        <v>1</v>
      </c>
    </row>
    <row r="232" spans="1:19" x14ac:dyDescent="0.2">
      <c r="A232" s="572"/>
      <c r="B232" s="613"/>
      <c r="C232" s="230" t="s">
        <v>879</v>
      </c>
      <c r="D232" s="90">
        <v>3.1</v>
      </c>
      <c r="E232" s="544"/>
      <c r="F232" s="553"/>
      <c r="G232" s="63" t="s">
        <v>1245</v>
      </c>
      <c r="H232" s="550"/>
      <c r="I232" s="596"/>
      <c r="J232" s="596"/>
      <c r="K232" s="629"/>
      <c r="L232" s="586"/>
      <c r="M232" s="575"/>
      <c r="N232" s="621"/>
      <c r="O232" s="583"/>
      <c r="P232" s="583"/>
      <c r="Q232" s="572"/>
      <c r="R232" s="544"/>
      <c r="S232" s="621"/>
    </row>
    <row r="233" spans="1:19" x14ac:dyDescent="0.2">
      <c r="A233" s="572"/>
      <c r="B233" s="613"/>
      <c r="C233" s="140" t="s">
        <v>1236</v>
      </c>
      <c r="D233" s="90">
        <v>1.5</v>
      </c>
      <c r="E233" s="544"/>
      <c r="F233" s="553"/>
      <c r="G233" s="63" t="s">
        <v>1246</v>
      </c>
      <c r="H233" s="550"/>
      <c r="I233" s="596"/>
      <c r="J233" s="596"/>
      <c r="K233" s="629"/>
      <c r="L233" s="586"/>
      <c r="M233" s="575"/>
      <c r="N233" s="621"/>
      <c r="O233" s="583"/>
      <c r="P233" s="583"/>
      <c r="Q233" s="572"/>
      <c r="R233" s="544"/>
      <c r="S233" s="621"/>
    </row>
    <row r="234" spans="1:19" x14ac:dyDescent="0.2">
      <c r="A234" s="572"/>
      <c r="B234" s="613"/>
      <c r="C234" s="230" t="s">
        <v>876</v>
      </c>
      <c r="D234" s="90">
        <v>1.6</v>
      </c>
      <c r="E234" s="544"/>
      <c r="F234" s="553"/>
      <c r="G234" s="63" t="s">
        <v>1247</v>
      </c>
      <c r="H234" s="550"/>
      <c r="I234" s="596"/>
      <c r="J234" s="596"/>
      <c r="K234" s="629"/>
      <c r="L234" s="586"/>
      <c r="M234" s="575"/>
      <c r="N234" s="621"/>
      <c r="O234" s="583"/>
      <c r="P234" s="583"/>
      <c r="Q234" s="572"/>
      <c r="R234" s="544"/>
      <c r="S234" s="621"/>
    </row>
    <row r="235" spans="1:19" x14ac:dyDescent="0.2">
      <c r="A235" s="572"/>
      <c r="B235" s="613"/>
      <c r="C235" s="140" t="s">
        <v>877</v>
      </c>
      <c r="D235" s="78">
        <v>3</v>
      </c>
      <c r="E235" s="544"/>
      <c r="F235" s="553"/>
      <c r="G235" s="63" t="s">
        <v>1912</v>
      </c>
      <c r="H235" s="550"/>
      <c r="I235" s="597"/>
      <c r="J235" s="597"/>
      <c r="K235" s="630"/>
      <c r="L235" s="586"/>
      <c r="M235" s="575"/>
      <c r="N235" s="621"/>
      <c r="O235" s="583"/>
      <c r="P235" s="583"/>
      <c r="Q235" s="572"/>
      <c r="R235" s="544"/>
      <c r="S235" s="621"/>
    </row>
    <row r="236" spans="1:19" x14ac:dyDescent="0.2">
      <c r="A236" s="572"/>
      <c r="B236" s="613"/>
      <c r="C236" s="227" t="s">
        <v>2084</v>
      </c>
      <c r="D236" s="78">
        <v>1.9</v>
      </c>
      <c r="E236" s="544"/>
      <c r="F236" s="553"/>
      <c r="G236" s="63" t="s">
        <v>763</v>
      </c>
      <c r="H236" s="550"/>
      <c r="I236" s="597"/>
      <c r="J236" s="597"/>
      <c r="K236" s="630"/>
      <c r="L236" s="586"/>
      <c r="M236" s="575"/>
      <c r="N236" s="621"/>
      <c r="O236" s="583"/>
      <c r="P236" s="583"/>
      <c r="Q236" s="572"/>
      <c r="R236" s="544"/>
      <c r="S236" s="621"/>
    </row>
    <row r="237" spans="1:19" x14ac:dyDescent="0.2">
      <c r="A237" s="572"/>
      <c r="B237" s="613"/>
      <c r="C237" s="227" t="s">
        <v>761</v>
      </c>
      <c r="D237" s="78">
        <v>4.8</v>
      </c>
      <c r="E237" s="544"/>
      <c r="F237" s="553"/>
      <c r="G237" s="63" t="s">
        <v>1912</v>
      </c>
      <c r="H237" s="550"/>
      <c r="I237" s="597"/>
      <c r="J237" s="597"/>
      <c r="K237" s="630"/>
      <c r="L237" s="586"/>
      <c r="M237" s="575"/>
      <c r="N237" s="621"/>
      <c r="O237" s="583"/>
      <c r="P237" s="583"/>
      <c r="Q237" s="572"/>
      <c r="R237" s="544"/>
      <c r="S237" s="621"/>
    </row>
    <row r="238" spans="1:19" x14ac:dyDescent="0.2">
      <c r="A238" s="572"/>
      <c r="B238" s="613"/>
      <c r="C238" s="227" t="s">
        <v>762</v>
      </c>
      <c r="D238" s="78">
        <v>0.6</v>
      </c>
      <c r="E238" s="544"/>
      <c r="F238" s="553"/>
      <c r="G238" s="63" t="s">
        <v>1912</v>
      </c>
      <c r="H238" s="550"/>
      <c r="I238" s="597"/>
      <c r="J238" s="597"/>
      <c r="K238" s="630"/>
      <c r="L238" s="586"/>
      <c r="M238" s="575"/>
      <c r="N238" s="621"/>
      <c r="O238" s="583"/>
      <c r="P238" s="583"/>
      <c r="Q238" s="572"/>
      <c r="R238" s="544"/>
      <c r="S238" s="621"/>
    </row>
    <row r="239" spans="1:19" x14ac:dyDescent="0.2">
      <c r="A239" s="572"/>
      <c r="B239" s="559"/>
      <c r="C239" s="230" t="s">
        <v>878</v>
      </c>
      <c r="D239" s="78">
        <v>2</v>
      </c>
      <c r="E239" s="545"/>
      <c r="F239" s="554"/>
      <c r="G239" s="63" t="s">
        <v>1293</v>
      </c>
      <c r="H239" s="551"/>
      <c r="I239" s="598"/>
      <c r="J239" s="598"/>
      <c r="K239" s="627"/>
      <c r="L239" s="587"/>
      <c r="M239" s="576"/>
      <c r="N239" s="622"/>
      <c r="O239" s="623"/>
      <c r="P239" s="623"/>
      <c r="Q239" s="573"/>
      <c r="R239" s="545"/>
      <c r="S239" s="622"/>
    </row>
    <row r="240" spans="1:19" x14ac:dyDescent="0.2">
      <c r="A240" s="573"/>
      <c r="B240" s="138"/>
      <c r="C240" s="140"/>
      <c r="D240" s="95">
        <f>SUM(D231:D239)</f>
        <v>23.700000000000003</v>
      </c>
      <c r="E240" s="16"/>
      <c r="F240" s="24"/>
      <c r="G240" s="63"/>
      <c r="H240" s="132"/>
      <c r="I240" s="81"/>
      <c r="J240" s="81"/>
      <c r="K240" s="82"/>
      <c r="L240" s="152"/>
      <c r="M240" s="153"/>
      <c r="N240" s="153"/>
      <c r="O240" s="140"/>
      <c r="P240" s="140"/>
      <c r="Q240" s="80"/>
      <c r="R240" s="16"/>
      <c r="S240" s="153"/>
    </row>
    <row r="241" spans="1:19" x14ac:dyDescent="0.2">
      <c r="A241" s="571"/>
      <c r="B241" s="558" t="s">
        <v>2176</v>
      </c>
      <c r="C241" s="140" t="s">
        <v>2176</v>
      </c>
      <c r="D241" s="90">
        <v>3.2</v>
      </c>
      <c r="E241" s="543" t="s">
        <v>1521</v>
      </c>
      <c r="F241" s="552" t="s">
        <v>246</v>
      </c>
      <c r="G241" s="63" t="s">
        <v>1294</v>
      </c>
      <c r="H241" s="552" t="s">
        <v>813</v>
      </c>
      <c r="I241" s="589">
        <v>40456</v>
      </c>
      <c r="J241" s="589"/>
      <c r="K241" s="577"/>
      <c r="L241" s="588">
        <v>29992.32</v>
      </c>
      <c r="M241" s="588"/>
      <c r="N241" s="543"/>
      <c r="O241" s="580" t="s">
        <v>2255</v>
      </c>
      <c r="P241" s="580" t="s">
        <v>671</v>
      </c>
      <c r="Q241" s="571"/>
      <c r="R241" s="543" t="s">
        <v>271</v>
      </c>
      <c r="S241" s="543"/>
    </row>
    <row r="242" spans="1:19" x14ac:dyDescent="0.2">
      <c r="A242" s="572"/>
      <c r="B242" s="613"/>
      <c r="C242" s="140" t="s">
        <v>1487</v>
      </c>
      <c r="D242" s="78">
        <v>3.9</v>
      </c>
      <c r="E242" s="544"/>
      <c r="F242" s="553"/>
      <c r="G242" s="63" t="s">
        <v>1295</v>
      </c>
      <c r="H242" s="553"/>
      <c r="I242" s="590"/>
      <c r="J242" s="590"/>
      <c r="K242" s="578"/>
      <c r="L242" s="586"/>
      <c r="M242" s="586"/>
      <c r="N242" s="544"/>
      <c r="O242" s="581"/>
      <c r="P242" s="581"/>
      <c r="Q242" s="572"/>
      <c r="R242" s="544"/>
      <c r="S242" s="544"/>
    </row>
    <row r="243" spans="1:19" x14ac:dyDescent="0.2">
      <c r="A243" s="572"/>
      <c r="B243" s="559"/>
      <c r="C243" s="145" t="s">
        <v>1419</v>
      </c>
      <c r="D243" s="78">
        <v>7</v>
      </c>
      <c r="E243" s="545"/>
      <c r="F243" s="554"/>
      <c r="G243" s="63" t="s">
        <v>1912</v>
      </c>
      <c r="H243" s="554"/>
      <c r="I243" s="591"/>
      <c r="J243" s="591"/>
      <c r="K243" s="579"/>
      <c r="L243" s="586"/>
      <c r="M243" s="586"/>
      <c r="N243" s="545"/>
      <c r="O243" s="581"/>
      <c r="P243" s="581"/>
      <c r="Q243" s="573"/>
      <c r="R243" s="545"/>
      <c r="S243" s="545"/>
    </row>
    <row r="244" spans="1:19" x14ac:dyDescent="0.2">
      <c r="A244" s="573"/>
      <c r="B244" s="138"/>
      <c r="C244" s="140"/>
      <c r="D244" s="95">
        <f>SUM(D241:D243)</f>
        <v>14.1</v>
      </c>
      <c r="E244" s="16"/>
      <c r="F244" s="24"/>
      <c r="G244" s="63"/>
      <c r="H244" s="132"/>
      <c r="I244" s="81"/>
      <c r="J244" s="81"/>
      <c r="K244" s="82"/>
      <c r="L244" s="152"/>
      <c r="M244" s="153"/>
      <c r="N244" s="153"/>
      <c r="O244" s="140"/>
      <c r="P244" s="140"/>
      <c r="Q244" s="80"/>
      <c r="R244" s="16"/>
      <c r="S244" s="153"/>
    </row>
    <row r="245" spans="1:19" ht="12.75" customHeight="1" x14ac:dyDescent="0.2">
      <c r="A245" s="571"/>
      <c r="B245" s="558" t="s">
        <v>2177</v>
      </c>
      <c r="C245" s="145" t="s">
        <v>2177</v>
      </c>
      <c r="D245" s="90">
        <v>3.7</v>
      </c>
      <c r="E245" s="543" t="s">
        <v>1521</v>
      </c>
      <c r="F245" s="552" t="s">
        <v>246</v>
      </c>
      <c r="G245" s="63" t="s">
        <v>1296</v>
      </c>
      <c r="H245" s="549" t="s">
        <v>813</v>
      </c>
      <c r="I245" s="599">
        <v>40456</v>
      </c>
      <c r="J245" s="589"/>
      <c r="K245" s="577"/>
      <c r="L245" s="574">
        <v>29376</v>
      </c>
      <c r="M245" s="574"/>
      <c r="N245" s="704"/>
      <c r="O245" s="580" t="s">
        <v>2255</v>
      </c>
      <c r="P245" s="580" t="s">
        <v>671</v>
      </c>
      <c r="Q245" s="571"/>
      <c r="R245" s="543" t="s">
        <v>271</v>
      </c>
      <c r="S245" s="704"/>
    </row>
    <row r="246" spans="1:19" ht="12.75" customHeight="1" x14ac:dyDescent="0.2">
      <c r="A246" s="572"/>
      <c r="B246" s="613"/>
      <c r="C246" s="145" t="s">
        <v>1812</v>
      </c>
      <c r="D246" s="78">
        <v>2.7</v>
      </c>
      <c r="E246" s="544"/>
      <c r="F246" s="553"/>
      <c r="G246" s="63" t="s">
        <v>1297</v>
      </c>
      <c r="H246" s="550"/>
      <c r="I246" s="597"/>
      <c r="J246" s="590"/>
      <c r="K246" s="578"/>
      <c r="L246" s="575"/>
      <c r="M246" s="575"/>
      <c r="N246" s="705"/>
      <c r="O246" s="581"/>
      <c r="P246" s="581"/>
      <c r="Q246" s="572"/>
      <c r="R246" s="544"/>
      <c r="S246" s="705"/>
    </row>
    <row r="247" spans="1:19" ht="12.75" customHeight="1" x14ac:dyDescent="0.2">
      <c r="A247" s="572"/>
      <c r="B247" s="613"/>
      <c r="C247" s="225" t="s">
        <v>1813</v>
      </c>
      <c r="D247" s="78">
        <v>5.3</v>
      </c>
      <c r="E247" s="544"/>
      <c r="F247" s="553"/>
      <c r="G247" s="63" t="s">
        <v>1512</v>
      </c>
      <c r="H247" s="550"/>
      <c r="I247" s="597"/>
      <c r="J247" s="590"/>
      <c r="K247" s="578"/>
      <c r="L247" s="575"/>
      <c r="M247" s="575"/>
      <c r="N247" s="705"/>
      <c r="O247" s="581"/>
      <c r="P247" s="581"/>
      <c r="Q247" s="572"/>
      <c r="R247" s="544"/>
      <c r="S247" s="705"/>
    </row>
    <row r="248" spans="1:19" ht="13.5" customHeight="1" x14ac:dyDescent="0.2">
      <c r="A248" s="572"/>
      <c r="B248" s="559"/>
      <c r="C248" s="225" t="s">
        <v>1814</v>
      </c>
      <c r="D248" s="78">
        <v>3.6</v>
      </c>
      <c r="E248" s="545"/>
      <c r="F248" s="554"/>
      <c r="G248" s="63" t="s">
        <v>1912</v>
      </c>
      <c r="H248" s="551"/>
      <c r="I248" s="598"/>
      <c r="J248" s="591"/>
      <c r="K248" s="579"/>
      <c r="L248" s="576"/>
      <c r="M248" s="576"/>
      <c r="N248" s="706"/>
      <c r="O248" s="605"/>
      <c r="P248" s="605"/>
      <c r="Q248" s="573"/>
      <c r="R248" s="545"/>
      <c r="S248" s="706"/>
    </row>
    <row r="249" spans="1:19" x14ac:dyDescent="0.2">
      <c r="A249" s="573"/>
      <c r="B249" s="138"/>
      <c r="C249" s="140"/>
      <c r="D249" s="95">
        <f>SUM(D245:D248)</f>
        <v>15.299999999999999</v>
      </c>
      <c r="E249" s="16"/>
      <c r="F249" s="24"/>
      <c r="G249" s="63"/>
      <c r="H249" s="130"/>
      <c r="I249" s="81"/>
      <c r="J249" s="81"/>
      <c r="K249" s="82"/>
      <c r="L249" s="152"/>
      <c r="M249" s="153"/>
      <c r="N249" s="153"/>
      <c r="O249" s="140"/>
      <c r="P249" s="140"/>
      <c r="Q249" s="80"/>
      <c r="R249" s="16"/>
      <c r="S249" s="153"/>
    </row>
    <row r="250" spans="1:19" x14ac:dyDescent="0.2">
      <c r="A250" s="571"/>
      <c r="B250" s="558" t="s">
        <v>2178</v>
      </c>
      <c r="C250" s="145" t="s">
        <v>2178</v>
      </c>
      <c r="D250" s="78">
        <v>3.7</v>
      </c>
      <c r="E250" s="543" t="s">
        <v>1521</v>
      </c>
      <c r="F250" s="552" t="s">
        <v>246</v>
      </c>
      <c r="G250" s="63" t="s">
        <v>1298</v>
      </c>
      <c r="H250" s="549" t="s">
        <v>814</v>
      </c>
      <c r="I250" s="589">
        <v>40456</v>
      </c>
      <c r="J250" s="589">
        <v>40487</v>
      </c>
      <c r="K250" s="577">
        <v>40579</v>
      </c>
      <c r="L250" s="588">
        <v>22272</v>
      </c>
      <c r="M250" s="588">
        <v>18143.8</v>
      </c>
      <c r="N250" s="543">
        <v>100</v>
      </c>
      <c r="O250" s="580" t="s">
        <v>1530</v>
      </c>
      <c r="P250" s="580"/>
      <c r="Q250" s="571"/>
      <c r="R250" s="543" t="s">
        <v>271</v>
      </c>
      <c r="S250" s="543">
        <v>1</v>
      </c>
    </row>
    <row r="251" spans="1:19" x14ac:dyDescent="0.2">
      <c r="A251" s="572"/>
      <c r="B251" s="613"/>
      <c r="C251" s="230" t="s">
        <v>588</v>
      </c>
      <c r="D251" s="78">
        <v>2.5</v>
      </c>
      <c r="E251" s="544"/>
      <c r="F251" s="553"/>
      <c r="G251" s="63" t="s">
        <v>1299</v>
      </c>
      <c r="H251" s="550"/>
      <c r="I251" s="590"/>
      <c r="J251" s="590"/>
      <c r="K251" s="578"/>
      <c r="L251" s="586"/>
      <c r="M251" s="586"/>
      <c r="N251" s="544"/>
      <c r="O251" s="581"/>
      <c r="P251" s="581"/>
      <c r="Q251" s="572"/>
      <c r="R251" s="544"/>
      <c r="S251" s="544"/>
    </row>
    <row r="252" spans="1:19" x14ac:dyDescent="0.2">
      <c r="A252" s="572"/>
      <c r="B252" s="613"/>
      <c r="C252" s="230" t="s">
        <v>1175</v>
      </c>
      <c r="D252" s="78">
        <v>1.4</v>
      </c>
      <c r="E252" s="544"/>
      <c r="F252" s="553"/>
      <c r="G252" s="63" t="s">
        <v>1300</v>
      </c>
      <c r="H252" s="550"/>
      <c r="I252" s="590"/>
      <c r="J252" s="590"/>
      <c r="K252" s="578"/>
      <c r="L252" s="586"/>
      <c r="M252" s="586"/>
      <c r="N252" s="544"/>
      <c r="O252" s="581"/>
      <c r="P252" s="581"/>
      <c r="Q252" s="572"/>
      <c r="R252" s="544"/>
      <c r="S252" s="544"/>
    </row>
    <row r="253" spans="1:19" x14ac:dyDescent="0.2">
      <c r="A253" s="572"/>
      <c r="B253" s="613"/>
      <c r="C253" s="227" t="s">
        <v>1542</v>
      </c>
      <c r="D253" s="78">
        <v>3.8</v>
      </c>
      <c r="E253" s="544"/>
      <c r="F253" s="553"/>
      <c r="G253" s="63" t="s">
        <v>1543</v>
      </c>
      <c r="H253" s="550"/>
      <c r="I253" s="590"/>
      <c r="J253" s="590"/>
      <c r="K253" s="578"/>
      <c r="L253" s="586"/>
      <c r="M253" s="586"/>
      <c r="N253" s="544"/>
      <c r="O253" s="581"/>
      <c r="P253" s="581"/>
      <c r="Q253" s="572"/>
      <c r="R253" s="544"/>
      <c r="S253" s="544"/>
    </row>
    <row r="254" spans="1:19" x14ac:dyDescent="0.2">
      <c r="A254" s="572"/>
      <c r="B254" s="613"/>
      <c r="C254" s="140" t="s">
        <v>1176</v>
      </c>
      <c r="D254" s="78">
        <v>2</v>
      </c>
      <c r="E254" s="544"/>
      <c r="F254" s="553"/>
      <c r="G254" s="63" t="s">
        <v>1301</v>
      </c>
      <c r="H254" s="550"/>
      <c r="I254" s="590"/>
      <c r="J254" s="590"/>
      <c r="K254" s="578"/>
      <c r="L254" s="586"/>
      <c r="M254" s="586"/>
      <c r="N254" s="544"/>
      <c r="O254" s="581"/>
      <c r="P254" s="581"/>
      <c r="Q254" s="572"/>
      <c r="R254" s="544"/>
      <c r="S254" s="544"/>
    </row>
    <row r="255" spans="1:19" x14ac:dyDescent="0.2">
      <c r="A255" s="572"/>
      <c r="B255" s="613"/>
      <c r="C255" s="140" t="s">
        <v>1177</v>
      </c>
      <c r="D255" s="78">
        <v>0.9</v>
      </c>
      <c r="E255" s="544"/>
      <c r="F255" s="553"/>
      <c r="G255" s="63" t="s">
        <v>1878</v>
      </c>
      <c r="H255" s="550"/>
      <c r="I255" s="590"/>
      <c r="J255" s="590"/>
      <c r="K255" s="578"/>
      <c r="L255" s="586"/>
      <c r="M255" s="586"/>
      <c r="N255" s="544"/>
      <c r="O255" s="581"/>
      <c r="P255" s="581"/>
      <c r="Q255" s="572"/>
      <c r="R255" s="544"/>
      <c r="S255" s="544"/>
    </row>
    <row r="256" spans="1:19" x14ac:dyDescent="0.2">
      <c r="A256" s="572"/>
      <c r="B256" s="559"/>
      <c r="C256" s="140" t="s">
        <v>1178</v>
      </c>
      <c r="D256" s="78">
        <v>1.1000000000000001</v>
      </c>
      <c r="E256" s="545"/>
      <c r="F256" s="554"/>
      <c r="G256" s="63" t="s">
        <v>1879</v>
      </c>
      <c r="H256" s="551"/>
      <c r="I256" s="591"/>
      <c r="J256" s="591"/>
      <c r="K256" s="579"/>
      <c r="L256" s="586"/>
      <c r="M256" s="586"/>
      <c r="N256" s="544"/>
      <c r="O256" s="581"/>
      <c r="P256" s="581"/>
      <c r="Q256" s="573"/>
      <c r="R256" s="545"/>
      <c r="S256" s="544"/>
    </row>
    <row r="257" spans="1:19" x14ac:dyDescent="0.2">
      <c r="A257" s="573"/>
      <c r="B257" s="138"/>
      <c r="C257" s="140"/>
      <c r="D257" s="95">
        <f>SUM(D250:D256)</f>
        <v>15.399999999999999</v>
      </c>
      <c r="E257" s="16"/>
      <c r="F257" s="24"/>
      <c r="G257" s="63"/>
      <c r="H257" s="130"/>
      <c r="I257" s="81"/>
      <c r="J257" s="81"/>
      <c r="K257" s="82"/>
      <c r="L257" s="152"/>
      <c r="M257" s="153"/>
      <c r="N257" s="153"/>
      <c r="O257" s="140"/>
      <c r="P257" s="140"/>
      <c r="Q257" s="80"/>
      <c r="R257" s="16"/>
      <c r="S257" s="153"/>
    </row>
    <row r="258" spans="1:19" ht="12.75" customHeight="1" x14ac:dyDescent="0.2">
      <c r="A258" s="571"/>
      <c r="B258" s="558" t="s">
        <v>2105</v>
      </c>
      <c r="C258" s="140" t="s">
        <v>2105</v>
      </c>
      <c r="D258" s="96">
        <v>9</v>
      </c>
      <c r="E258" s="543" t="s">
        <v>1521</v>
      </c>
      <c r="F258" s="552" t="s">
        <v>246</v>
      </c>
      <c r="G258" s="63" t="s">
        <v>1190</v>
      </c>
      <c r="H258" s="549" t="s">
        <v>815</v>
      </c>
      <c r="I258" s="589">
        <v>40456</v>
      </c>
      <c r="J258" s="589">
        <v>40486</v>
      </c>
      <c r="K258" s="577">
        <v>40578</v>
      </c>
      <c r="L258" s="588">
        <v>35661.599999999999</v>
      </c>
      <c r="M258" s="588">
        <v>24084.39</v>
      </c>
      <c r="N258" s="543">
        <v>100</v>
      </c>
      <c r="O258" s="615" t="s">
        <v>327</v>
      </c>
      <c r="P258" s="580"/>
      <c r="Q258" s="571"/>
      <c r="R258" s="543" t="s">
        <v>271</v>
      </c>
      <c r="S258" s="600"/>
    </row>
    <row r="259" spans="1:19" ht="12.75" customHeight="1" x14ac:dyDescent="0.2">
      <c r="A259" s="572"/>
      <c r="B259" s="613"/>
      <c r="C259" s="145" t="s">
        <v>1179</v>
      </c>
      <c r="D259" s="97">
        <v>2.1</v>
      </c>
      <c r="E259" s="544"/>
      <c r="F259" s="553"/>
      <c r="G259" s="63" t="s">
        <v>1880</v>
      </c>
      <c r="H259" s="550"/>
      <c r="I259" s="590"/>
      <c r="J259" s="590"/>
      <c r="K259" s="578"/>
      <c r="L259" s="586"/>
      <c r="M259" s="586"/>
      <c r="N259" s="544"/>
      <c r="O259" s="616"/>
      <c r="P259" s="581"/>
      <c r="Q259" s="572"/>
      <c r="R259" s="544"/>
      <c r="S259" s="601"/>
    </row>
    <row r="260" spans="1:19" ht="12.75" customHeight="1" x14ac:dyDescent="0.2">
      <c r="A260" s="572"/>
      <c r="B260" s="613"/>
      <c r="C260" s="145" t="s">
        <v>1180</v>
      </c>
      <c r="D260" s="97">
        <v>2.2999999999999998</v>
      </c>
      <c r="E260" s="544"/>
      <c r="F260" s="553"/>
      <c r="G260" s="63" t="s">
        <v>1881</v>
      </c>
      <c r="H260" s="550"/>
      <c r="I260" s="590"/>
      <c r="J260" s="590"/>
      <c r="K260" s="578"/>
      <c r="L260" s="586"/>
      <c r="M260" s="586"/>
      <c r="N260" s="544"/>
      <c r="O260" s="616"/>
      <c r="P260" s="581"/>
      <c r="Q260" s="572"/>
      <c r="R260" s="544"/>
      <c r="S260" s="601"/>
    </row>
    <row r="261" spans="1:19" ht="12.75" customHeight="1" x14ac:dyDescent="0.2">
      <c r="A261" s="572"/>
      <c r="B261" s="613"/>
      <c r="C261" s="145" t="s">
        <v>1526</v>
      </c>
      <c r="D261" s="97">
        <v>3.5</v>
      </c>
      <c r="E261" s="544"/>
      <c r="F261" s="553"/>
      <c r="G261" s="63" t="s">
        <v>1912</v>
      </c>
      <c r="H261" s="550"/>
      <c r="I261" s="590"/>
      <c r="J261" s="590"/>
      <c r="K261" s="578"/>
      <c r="L261" s="586"/>
      <c r="M261" s="586"/>
      <c r="N261" s="544"/>
      <c r="O261" s="616"/>
      <c r="P261" s="581"/>
      <c r="Q261" s="572"/>
      <c r="R261" s="544"/>
      <c r="S261" s="601"/>
    </row>
    <row r="262" spans="1:19" ht="13.5" customHeight="1" x14ac:dyDescent="0.2">
      <c r="A262" s="572"/>
      <c r="B262" s="559"/>
      <c r="C262" s="145" t="s">
        <v>1528</v>
      </c>
      <c r="D262" s="97">
        <v>1.6</v>
      </c>
      <c r="E262" s="545"/>
      <c r="F262" s="554"/>
      <c r="G262" s="63" t="s">
        <v>1882</v>
      </c>
      <c r="H262" s="551"/>
      <c r="I262" s="591"/>
      <c r="J262" s="591"/>
      <c r="K262" s="579"/>
      <c r="L262" s="587"/>
      <c r="M262" s="587"/>
      <c r="N262" s="545"/>
      <c r="O262" s="617"/>
      <c r="P262" s="605"/>
      <c r="Q262" s="573"/>
      <c r="R262" s="545"/>
      <c r="S262" s="602"/>
    </row>
    <row r="263" spans="1:19" x14ac:dyDescent="0.2">
      <c r="A263" s="573"/>
      <c r="B263" s="131"/>
      <c r="C263" s="140"/>
      <c r="D263" s="95">
        <f>SUM(D258:D262)</f>
        <v>18.5</v>
      </c>
      <c r="E263" s="16"/>
      <c r="F263" s="24"/>
      <c r="G263" s="63"/>
      <c r="H263" s="132"/>
      <c r="I263" s="81"/>
      <c r="J263" s="81"/>
      <c r="K263" s="82"/>
      <c r="L263" s="152"/>
      <c r="M263" s="153"/>
      <c r="N263" s="153"/>
      <c r="O263" s="145"/>
      <c r="P263" s="140"/>
      <c r="Q263" s="80"/>
      <c r="R263" s="16"/>
      <c r="S263" s="153"/>
    </row>
    <row r="264" spans="1:19" ht="12.75" customHeight="1" x14ac:dyDescent="0.2">
      <c r="A264" s="571"/>
      <c r="B264" s="619" t="s">
        <v>2106</v>
      </c>
      <c r="C264" s="140" t="s">
        <v>2106</v>
      </c>
      <c r="D264" s="96">
        <v>6.2</v>
      </c>
      <c r="E264" s="543" t="s">
        <v>1521</v>
      </c>
      <c r="F264" s="552" t="s">
        <v>246</v>
      </c>
      <c r="G264" s="63" t="s">
        <v>1883</v>
      </c>
      <c r="H264" s="552" t="s">
        <v>815</v>
      </c>
      <c r="I264" s="589">
        <v>40456</v>
      </c>
      <c r="J264" s="589">
        <v>40485</v>
      </c>
      <c r="K264" s="577">
        <v>40604</v>
      </c>
      <c r="L264" s="588">
        <v>26743.200000000001</v>
      </c>
      <c r="M264" s="588">
        <v>25850.2</v>
      </c>
      <c r="N264" s="543">
        <v>100</v>
      </c>
      <c r="O264" s="615" t="s">
        <v>1381</v>
      </c>
      <c r="P264" s="558"/>
      <c r="Q264" s="571"/>
      <c r="R264" s="543" t="s">
        <v>271</v>
      </c>
      <c r="S264" s="543">
        <v>1</v>
      </c>
    </row>
    <row r="265" spans="1:19" ht="12.75" customHeight="1" x14ac:dyDescent="0.2">
      <c r="A265" s="572"/>
      <c r="B265" s="619"/>
      <c r="C265" s="140" t="s">
        <v>1529</v>
      </c>
      <c r="D265" s="96">
        <v>4.0999999999999996</v>
      </c>
      <c r="E265" s="544"/>
      <c r="F265" s="553"/>
      <c r="G265" s="63" t="s">
        <v>1884</v>
      </c>
      <c r="H265" s="553"/>
      <c r="I265" s="590"/>
      <c r="J265" s="590"/>
      <c r="K265" s="578"/>
      <c r="L265" s="586"/>
      <c r="M265" s="586"/>
      <c r="N265" s="544"/>
      <c r="O265" s="616"/>
      <c r="P265" s="613"/>
      <c r="Q265" s="572"/>
      <c r="R265" s="544"/>
      <c r="S265" s="544"/>
    </row>
    <row r="266" spans="1:19" ht="12.75" customHeight="1" x14ac:dyDescent="0.2">
      <c r="A266" s="572"/>
      <c r="B266" s="619"/>
      <c r="C266" s="145" t="s">
        <v>1342</v>
      </c>
      <c r="D266" s="96">
        <v>1.1000000000000001</v>
      </c>
      <c r="E266" s="544"/>
      <c r="F266" s="553"/>
      <c r="G266" s="63" t="s">
        <v>1885</v>
      </c>
      <c r="H266" s="553"/>
      <c r="I266" s="590"/>
      <c r="J266" s="590"/>
      <c r="K266" s="578"/>
      <c r="L266" s="586"/>
      <c r="M266" s="586"/>
      <c r="N266" s="544"/>
      <c r="O266" s="616"/>
      <c r="P266" s="613"/>
      <c r="Q266" s="572"/>
      <c r="R266" s="544"/>
      <c r="S266" s="544"/>
    </row>
    <row r="267" spans="1:19" ht="12.75" customHeight="1" x14ac:dyDescent="0.2">
      <c r="A267" s="572"/>
      <c r="B267" s="619"/>
      <c r="C267" s="145" t="s">
        <v>1343</v>
      </c>
      <c r="D267" s="97">
        <v>0.7</v>
      </c>
      <c r="E267" s="544"/>
      <c r="F267" s="553"/>
      <c r="G267" s="63" t="s">
        <v>1886</v>
      </c>
      <c r="H267" s="553"/>
      <c r="I267" s="590"/>
      <c r="J267" s="590"/>
      <c r="K267" s="578"/>
      <c r="L267" s="586"/>
      <c r="M267" s="586"/>
      <c r="N267" s="544"/>
      <c r="O267" s="616"/>
      <c r="P267" s="613"/>
      <c r="Q267" s="572"/>
      <c r="R267" s="544"/>
      <c r="S267" s="544"/>
    </row>
    <row r="268" spans="1:19" ht="13.5" customHeight="1" x14ac:dyDescent="0.2">
      <c r="A268" s="572"/>
      <c r="B268" s="619"/>
      <c r="C268" s="145" t="s">
        <v>1344</v>
      </c>
      <c r="D268" s="97">
        <v>0.9</v>
      </c>
      <c r="E268" s="545"/>
      <c r="F268" s="554"/>
      <c r="G268" s="63" t="s">
        <v>1887</v>
      </c>
      <c r="H268" s="554"/>
      <c r="I268" s="591"/>
      <c r="J268" s="591"/>
      <c r="K268" s="579"/>
      <c r="L268" s="587"/>
      <c r="M268" s="587"/>
      <c r="N268" s="545"/>
      <c r="O268" s="617"/>
      <c r="P268" s="559"/>
      <c r="Q268" s="573"/>
      <c r="R268" s="545"/>
      <c r="S268" s="545"/>
    </row>
    <row r="269" spans="1:19" x14ac:dyDescent="0.2">
      <c r="A269" s="573"/>
      <c r="B269" s="20"/>
      <c r="C269" s="140"/>
      <c r="D269" s="95">
        <f>SUM(D264:D268)</f>
        <v>13</v>
      </c>
      <c r="E269" s="16"/>
      <c r="F269" s="24"/>
      <c r="G269" s="63"/>
      <c r="H269" s="132"/>
      <c r="I269" s="81"/>
      <c r="J269" s="81"/>
      <c r="K269" s="82"/>
      <c r="L269" s="152"/>
      <c r="M269" s="153"/>
      <c r="N269" s="153"/>
      <c r="O269" s="145"/>
      <c r="P269" s="140"/>
      <c r="Q269" s="80"/>
      <c r="R269" s="16"/>
      <c r="S269" s="153"/>
    </row>
    <row r="270" spans="1:19" x14ac:dyDescent="0.2">
      <c r="A270" s="571"/>
      <c r="B270" s="558" t="s">
        <v>2107</v>
      </c>
      <c r="C270" s="230" t="s">
        <v>2107</v>
      </c>
      <c r="D270" s="96">
        <v>12.6</v>
      </c>
      <c r="E270" s="543" t="s">
        <v>841</v>
      </c>
      <c r="F270" s="552" t="s">
        <v>246</v>
      </c>
      <c r="G270" s="63" t="s">
        <v>1888</v>
      </c>
      <c r="H270" s="552" t="s">
        <v>816</v>
      </c>
      <c r="I270" s="589">
        <v>40456</v>
      </c>
      <c r="J270" s="589">
        <v>40542</v>
      </c>
      <c r="K270" s="589">
        <v>40632</v>
      </c>
      <c r="L270" s="588">
        <v>26277.360000000001</v>
      </c>
      <c r="M270" s="687">
        <v>26277.03</v>
      </c>
      <c r="N270" s="543">
        <v>100</v>
      </c>
      <c r="O270" s="631" t="s">
        <v>592</v>
      </c>
      <c r="P270" s="558" t="s">
        <v>149</v>
      </c>
      <c r="Q270" s="571"/>
      <c r="R270" s="543" t="s">
        <v>271</v>
      </c>
      <c r="S270" s="543"/>
    </row>
    <row r="271" spans="1:19" x14ac:dyDescent="0.2">
      <c r="A271" s="572"/>
      <c r="B271" s="613"/>
      <c r="C271" s="227" t="s">
        <v>1924</v>
      </c>
      <c r="D271" s="96">
        <v>13.4</v>
      </c>
      <c r="E271" s="544"/>
      <c r="F271" s="553"/>
      <c r="G271" s="63" t="s">
        <v>1923</v>
      </c>
      <c r="H271" s="553"/>
      <c r="I271" s="590"/>
      <c r="J271" s="590"/>
      <c r="K271" s="590"/>
      <c r="L271" s="586"/>
      <c r="M271" s="688"/>
      <c r="N271" s="544"/>
      <c r="O271" s="632"/>
      <c r="P271" s="613"/>
      <c r="Q271" s="572"/>
      <c r="R271" s="544"/>
      <c r="S271" s="544"/>
    </row>
    <row r="272" spans="1:19" x14ac:dyDescent="0.2">
      <c r="A272" s="572"/>
      <c r="B272" s="559"/>
      <c r="C272" s="227" t="s">
        <v>2218</v>
      </c>
      <c r="D272" s="96">
        <v>3.6</v>
      </c>
      <c r="E272" s="545"/>
      <c r="F272" s="554"/>
      <c r="G272" s="63" t="s">
        <v>1920</v>
      </c>
      <c r="H272" s="554"/>
      <c r="I272" s="591"/>
      <c r="J272" s="591"/>
      <c r="K272" s="591"/>
      <c r="L272" s="587"/>
      <c r="M272" s="689"/>
      <c r="N272" s="545"/>
      <c r="O272" s="633"/>
      <c r="P272" s="559"/>
      <c r="Q272" s="573"/>
      <c r="R272" s="545"/>
      <c r="S272" s="545"/>
    </row>
    <row r="273" spans="1:19" x14ac:dyDescent="0.2">
      <c r="A273" s="573"/>
      <c r="B273" s="23"/>
      <c r="C273" s="140"/>
      <c r="D273" s="95">
        <f>SUM(D270)</f>
        <v>12.6</v>
      </c>
      <c r="E273" s="16"/>
      <c r="F273" s="24"/>
      <c r="G273" s="63"/>
      <c r="H273" s="132"/>
      <c r="I273" s="81"/>
      <c r="J273" s="81"/>
      <c r="K273" s="82"/>
      <c r="L273" s="152"/>
      <c r="M273" s="153"/>
      <c r="N273" s="153"/>
      <c r="O273" s="140"/>
      <c r="P273" s="140"/>
      <c r="Q273" s="80"/>
      <c r="R273" s="16"/>
      <c r="S273" s="153"/>
    </row>
    <row r="274" spans="1:19" x14ac:dyDescent="0.2">
      <c r="A274" s="571"/>
      <c r="B274" s="558" t="s">
        <v>2108</v>
      </c>
      <c r="C274" s="140" t="s">
        <v>2108</v>
      </c>
      <c r="D274" s="96">
        <v>6</v>
      </c>
      <c r="E274" s="543" t="s">
        <v>685</v>
      </c>
      <c r="F274" s="552" t="s">
        <v>246</v>
      </c>
      <c r="G274" s="63" t="s">
        <v>180</v>
      </c>
      <c r="H274" s="549" t="s">
        <v>850</v>
      </c>
      <c r="I274" s="595">
        <v>40456</v>
      </c>
      <c r="J274" s="595">
        <v>40539</v>
      </c>
      <c r="K274" s="626">
        <v>40660</v>
      </c>
      <c r="L274" s="574">
        <v>40240.199999999997</v>
      </c>
      <c r="M274" s="574">
        <v>32215.040000000001</v>
      </c>
      <c r="N274" s="620">
        <v>100</v>
      </c>
      <c r="O274" s="582" t="s">
        <v>1166</v>
      </c>
      <c r="P274" s="582"/>
      <c r="Q274" s="571" t="s">
        <v>82</v>
      </c>
      <c r="R274" s="543" t="s">
        <v>271</v>
      </c>
      <c r="S274" s="620">
        <v>1</v>
      </c>
    </row>
    <row r="275" spans="1:19" x14ac:dyDescent="0.2">
      <c r="A275" s="572"/>
      <c r="B275" s="613"/>
      <c r="C275" s="140" t="s">
        <v>614</v>
      </c>
      <c r="D275" s="96">
        <v>2</v>
      </c>
      <c r="E275" s="544"/>
      <c r="F275" s="553"/>
      <c r="G275" s="63" t="s">
        <v>181</v>
      </c>
      <c r="H275" s="550"/>
      <c r="I275" s="596"/>
      <c r="J275" s="596"/>
      <c r="K275" s="629"/>
      <c r="L275" s="575"/>
      <c r="M275" s="575"/>
      <c r="N275" s="621"/>
      <c r="O275" s="583"/>
      <c r="P275" s="583"/>
      <c r="Q275" s="572"/>
      <c r="R275" s="544"/>
      <c r="S275" s="621"/>
    </row>
    <row r="276" spans="1:19" x14ac:dyDescent="0.2">
      <c r="A276" s="572"/>
      <c r="B276" s="613"/>
      <c r="C276" s="140" t="s">
        <v>615</v>
      </c>
      <c r="D276" s="97">
        <v>4</v>
      </c>
      <c r="E276" s="544"/>
      <c r="F276" s="553"/>
      <c r="G276" s="63" t="s">
        <v>2243</v>
      </c>
      <c r="H276" s="550"/>
      <c r="I276" s="597"/>
      <c r="J276" s="597"/>
      <c r="K276" s="630"/>
      <c r="L276" s="575"/>
      <c r="M276" s="575"/>
      <c r="N276" s="621"/>
      <c r="O276" s="583"/>
      <c r="P276" s="583"/>
      <c r="Q276" s="572"/>
      <c r="R276" s="544"/>
      <c r="S276" s="621"/>
    </row>
    <row r="277" spans="1:19" x14ac:dyDescent="0.2">
      <c r="A277" s="572"/>
      <c r="B277" s="613"/>
      <c r="C277" s="230" t="s">
        <v>2075</v>
      </c>
      <c r="D277" s="97">
        <v>4.5</v>
      </c>
      <c r="E277" s="544"/>
      <c r="F277" s="553"/>
      <c r="G277" s="63" t="s">
        <v>182</v>
      </c>
      <c r="H277" s="550"/>
      <c r="I277" s="597"/>
      <c r="J277" s="597"/>
      <c r="K277" s="630"/>
      <c r="L277" s="575"/>
      <c r="M277" s="575"/>
      <c r="N277" s="621"/>
      <c r="O277" s="583"/>
      <c r="P277" s="583"/>
      <c r="Q277" s="572"/>
      <c r="R277" s="544"/>
      <c r="S277" s="621"/>
    </row>
    <row r="278" spans="1:19" x14ac:dyDescent="0.2">
      <c r="A278" s="572"/>
      <c r="B278" s="613"/>
      <c r="C278" s="227" t="s">
        <v>924</v>
      </c>
      <c r="D278" s="98">
        <v>2.7</v>
      </c>
      <c r="E278" s="544"/>
      <c r="F278" s="553"/>
      <c r="G278" s="63" t="s">
        <v>1912</v>
      </c>
      <c r="H278" s="550"/>
      <c r="I278" s="597"/>
      <c r="J278" s="597"/>
      <c r="K278" s="630"/>
      <c r="L278" s="575"/>
      <c r="M278" s="575"/>
      <c r="N278" s="621"/>
      <c r="O278" s="583"/>
      <c r="P278" s="583"/>
      <c r="Q278" s="572"/>
      <c r="R278" s="544"/>
      <c r="S278" s="621"/>
    </row>
    <row r="279" spans="1:19" x14ac:dyDescent="0.2">
      <c r="A279" s="572"/>
      <c r="B279" s="613"/>
      <c r="C279" s="227" t="s">
        <v>925</v>
      </c>
      <c r="D279" s="98">
        <v>0.7</v>
      </c>
      <c r="E279" s="544"/>
      <c r="F279" s="553"/>
      <c r="G279" s="63" t="s">
        <v>1912</v>
      </c>
      <c r="H279" s="550"/>
      <c r="I279" s="597"/>
      <c r="J279" s="597"/>
      <c r="K279" s="630"/>
      <c r="L279" s="575"/>
      <c r="M279" s="575"/>
      <c r="N279" s="621"/>
      <c r="O279" s="583"/>
      <c r="P279" s="583"/>
      <c r="Q279" s="572"/>
      <c r="R279" s="544"/>
      <c r="S279" s="621"/>
    </row>
    <row r="280" spans="1:19" x14ac:dyDescent="0.2">
      <c r="A280" s="572"/>
      <c r="B280" s="613"/>
      <c r="C280" s="227" t="s">
        <v>1541</v>
      </c>
      <c r="D280" s="98">
        <v>2.4</v>
      </c>
      <c r="E280" s="544"/>
      <c r="F280" s="553"/>
      <c r="G280" s="63" t="s">
        <v>181</v>
      </c>
      <c r="H280" s="550"/>
      <c r="I280" s="597"/>
      <c r="J280" s="597"/>
      <c r="K280" s="630"/>
      <c r="L280" s="575"/>
      <c r="M280" s="575"/>
      <c r="N280" s="621"/>
      <c r="O280" s="583"/>
      <c r="P280" s="583"/>
      <c r="Q280" s="572"/>
      <c r="R280" s="544"/>
      <c r="S280" s="621"/>
    </row>
    <row r="281" spans="1:19" ht="15.75" thickBot="1" x14ac:dyDescent="0.25">
      <c r="A281" s="572"/>
      <c r="B281" s="559"/>
      <c r="C281" s="140" t="s">
        <v>2076</v>
      </c>
      <c r="D281" s="98">
        <v>3.2</v>
      </c>
      <c r="E281" s="545"/>
      <c r="F281" s="554"/>
      <c r="G281" s="63" t="s">
        <v>183</v>
      </c>
      <c r="H281" s="551"/>
      <c r="I281" s="598"/>
      <c r="J281" s="598"/>
      <c r="K281" s="627"/>
      <c r="L281" s="575"/>
      <c r="M281" s="575"/>
      <c r="N281" s="621"/>
      <c r="O281" s="583"/>
      <c r="P281" s="583"/>
      <c r="Q281" s="573"/>
      <c r="R281" s="545"/>
      <c r="S281" s="621"/>
    </row>
    <row r="282" spans="1:19" ht="15.75" thickBot="1" x14ac:dyDescent="0.25">
      <c r="A282" s="573"/>
      <c r="B282" s="138"/>
      <c r="C282" s="140"/>
      <c r="D282" s="99">
        <f>SUM(D274:D281)</f>
        <v>25.499999999999996</v>
      </c>
      <c r="E282" s="16"/>
      <c r="F282" s="24"/>
      <c r="G282" s="63"/>
      <c r="H282" s="130"/>
      <c r="I282" s="81"/>
      <c r="J282" s="81"/>
      <c r="K282" s="82"/>
      <c r="L282" s="152"/>
      <c r="M282" s="153"/>
      <c r="N282" s="153"/>
      <c r="O282" s="140"/>
      <c r="P282" s="140"/>
      <c r="Q282" s="80"/>
      <c r="R282" s="16"/>
      <c r="S282" s="153"/>
    </row>
    <row r="283" spans="1:19" ht="12.75" customHeight="1" x14ac:dyDescent="0.2">
      <c r="A283" s="571"/>
      <c r="B283" s="558" t="s">
        <v>587</v>
      </c>
      <c r="C283" s="140" t="s">
        <v>587</v>
      </c>
      <c r="D283" s="96">
        <v>10.3</v>
      </c>
      <c r="E283" s="543" t="s">
        <v>841</v>
      </c>
      <c r="F283" s="552" t="s">
        <v>246</v>
      </c>
      <c r="G283" s="63" t="s">
        <v>184</v>
      </c>
      <c r="H283" s="549" t="s">
        <v>817</v>
      </c>
      <c r="I283" s="589">
        <v>40456</v>
      </c>
      <c r="J283" s="589">
        <v>40496</v>
      </c>
      <c r="K283" s="577">
        <v>40588</v>
      </c>
      <c r="L283" s="574">
        <v>40785.839999999997</v>
      </c>
      <c r="M283" s="574">
        <v>33919.86</v>
      </c>
      <c r="N283" s="543">
        <v>100</v>
      </c>
      <c r="O283" s="582" t="s">
        <v>1892</v>
      </c>
      <c r="P283" s="582"/>
      <c r="Q283" s="571"/>
      <c r="R283" s="543" t="s">
        <v>271</v>
      </c>
      <c r="S283" s="543">
        <v>1</v>
      </c>
    </row>
    <row r="284" spans="1:19" ht="12.75" customHeight="1" x14ac:dyDescent="0.2">
      <c r="A284" s="572"/>
      <c r="B284" s="613"/>
      <c r="C284" s="140" t="s">
        <v>769</v>
      </c>
      <c r="D284" s="96">
        <v>3</v>
      </c>
      <c r="E284" s="544"/>
      <c r="F284" s="553"/>
      <c r="G284" s="63" t="s">
        <v>185</v>
      </c>
      <c r="H284" s="550"/>
      <c r="I284" s="590"/>
      <c r="J284" s="590"/>
      <c r="K284" s="578"/>
      <c r="L284" s="575"/>
      <c r="M284" s="575"/>
      <c r="N284" s="544"/>
      <c r="O284" s="583"/>
      <c r="P284" s="583"/>
      <c r="Q284" s="572"/>
      <c r="R284" s="544"/>
      <c r="S284" s="544"/>
    </row>
    <row r="285" spans="1:19" ht="12.75" customHeight="1" x14ac:dyDescent="0.2">
      <c r="A285" s="572"/>
      <c r="B285" s="613"/>
      <c r="C285" s="140" t="s">
        <v>770</v>
      </c>
      <c r="D285" s="96">
        <v>1.7</v>
      </c>
      <c r="E285" s="544"/>
      <c r="F285" s="553"/>
      <c r="G285" s="63" t="s">
        <v>186</v>
      </c>
      <c r="H285" s="550"/>
      <c r="I285" s="590"/>
      <c r="J285" s="590"/>
      <c r="K285" s="578"/>
      <c r="L285" s="575"/>
      <c r="M285" s="575"/>
      <c r="N285" s="544"/>
      <c r="O285" s="583"/>
      <c r="P285" s="583"/>
      <c r="Q285" s="572"/>
      <c r="R285" s="544"/>
      <c r="S285" s="544"/>
    </row>
    <row r="286" spans="1:19" ht="12.75" customHeight="1" x14ac:dyDescent="0.2">
      <c r="A286" s="572"/>
      <c r="B286" s="613"/>
      <c r="C286" s="140" t="s">
        <v>771</v>
      </c>
      <c r="D286" s="96">
        <v>1.4</v>
      </c>
      <c r="E286" s="544"/>
      <c r="F286" s="553"/>
      <c r="G286" s="63" t="s">
        <v>187</v>
      </c>
      <c r="H286" s="550"/>
      <c r="I286" s="590"/>
      <c r="J286" s="590"/>
      <c r="K286" s="578"/>
      <c r="L286" s="575"/>
      <c r="M286" s="575"/>
      <c r="N286" s="544"/>
      <c r="O286" s="583"/>
      <c r="P286" s="583"/>
      <c r="Q286" s="572"/>
      <c r="R286" s="544"/>
      <c r="S286" s="544"/>
    </row>
    <row r="287" spans="1:19" x14ac:dyDescent="0.2">
      <c r="A287" s="572"/>
      <c r="B287" s="613"/>
      <c r="C287" s="231" t="s">
        <v>2230</v>
      </c>
      <c r="D287" s="97">
        <v>2.2000000000000002</v>
      </c>
      <c r="E287" s="544"/>
      <c r="F287" s="553"/>
      <c r="G287" s="63" t="s">
        <v>188</v>
      </c>
      <c r="H287" s="550"/>
      <c r="I287" s="590"/>
      <c r="J287" s="590"/>
      <c r="K287" s="578"/>
      <c r="L287" s="575"/>
      <c r="M287" s="575"/>
      <c r="N287" s="544"/>
      <c r="O287" s="583"/>
      <c r="P287" s="583"/>
      <c r="Q287" s="572"/>
      <c r="R287" s="544"/>
      <c r="S287" s="544"/>
    </row>
    <row r="288" spans="1:19" ht="15.75" thickBot="1" x14ac:dyDescent="0.25">
      <c r="A288" s="572"/>
      <c r="B288" s="559"/>
      <c r="C288" s="230" t="s">
        <v>2231</v>
      </c>
      <c r="D288" s="98">
        <v>1.1000000000000001</v>
      </c>
      <c r="E288" s="545"/>
      <c r="F288" s="554"/>
      <c r="G288" s="63" t="s">
        <v>189</v>
      </c>
      <c r="H288" s="551"/>
      <c r="I288" s="591"/>
      <c r="J288" s="591"/>
      <c r="K288" s="579"/>
      <c r="L288" s="575"/>
      <c r="M288" s="575"/>
      <c r="N288" s="545"/>
      <c r="O288" s="623"/>
      <c r="P288" s="583"/>
      <c r="Q288" s="573"/>
      <c r="R288" s="545"/>
      <c r="S288" s="545"/>
    </row>
    <row r="289" spans="1:19" ht="15.75" thickBot="1" x14ac:dyDescent="0.25">
      <c r="A289" s="573"/>
      <c r="B289" s="138"/>
      <c r="C289" s="140"/>
      <c r="D289" s="99">
        <f>SUM(D283:D288)</f>
        <v>19.7</v>
      </c>
      <c r="E289" s="16"/>
      <c r="F289" s="24"/>
      <c r="G289" s="63"/>
      <c r="H289" s="130"/>
      <c r="I289" s="81"/>
      <c r="J289" s="81"/>
      <c r="K289" s="82"/>
      <c r="L289" s="152"/>
      <c r="M289" s="153"/>
      <c r="N289" s="153"/>
      <c r="O289" s="140"/>
      <c r="P289" s="140"/>
      <c r="Q289" s="80"/>
      <c r="R289" s="16"/>
      <c r="S289" s="153"/>
    </row>
    <row r="290" spans="1:19" ht="27" customHeight="1" x14ac:dyDescent="0.2">
      <c r="A290" s="571"/>
      <c r="B290" s="558" t="s">
        <v>465</v>
      </c>
      <c r="C290" s="140" t="s">
        <v>465</v>
      </c>
      <c r="D290" s="96">
        <v>14.1</v>
      </c>
      <c r="E290" s="543" t="s">
        <v>841</v>
      </c>
      <c r="F290" s="552" t="s">
        <v>246</v>
      </c>
      <c r="G290" s="63" t="s">
        <v>190</v>
      </c>
      <c r="H290" s="549" t="s">
        <v>818</v>
      </c>
      <c r="I290" s="595">
        <v>40456</v>
      </c>
      <c r="J290" s="599"/>
      <c r="K290" s="626"/>
      <c r="L290" s="574">
        <v>32021.4</v>
      </c>
      <c r="M290" s="574"/>
      <c r="N290" s="620">
        <v>30</v>
      </c>
      <c r="O290" s="582" t="s">
        <v>933</v>
      </c>
      <c r="P290" s="582" t="s">
        <v>671</v>
      </c>
      <c r="Q290" s="571"/>
      <c r="R290" s="543" t="s">
        <v>271</v>
      </c>
      <c r="S290" s="620"/>
    </row>
    <row r="291" spans="1:19" ht="23.25" customHeight="1" thickBot="1" x14ac:dyDescent="0.25">
      <c r="A291" s="572"/>
      <c r="B291" s="559"/>
      <c r="C291" s="140" t="s">
        <v>2239</v>
      </c>
      <c r="D291" s="98">
        <v>5.0999999999999996</v>
      </c>
      <c r="E291" s="545"/>
      <c r="F291" s="554"/>
      <c r="G291" s="63" t="s">
        <v>191</v>
      </c>
      <c r="H291" s="551"/>
      <c r="I291" s="598"/>
      <c r="J291" s="598"/>
      <c r="K291" s="627"/>
      <c r="L291" s="575"/>
      <c r="M291" s="575"/>
      <c r="N291" s="621"/>
      <c r="O291" s="583"/>
      <c r="P291" s="583"/>
      <c r="Q291" s="573"/>
      <c r="R291" s="545"/>
      <c r="S291" s="621"/>
    </row>
    <row r="292" spans="1:19" ht="15.75" thickBot="1" x14ac:dyDescent="0.25">
      <c r="A292" s="573"/>
      <c r="B292" s="138"/>
      <c r="C292" s="140"/>
      <c r="D292" s="99">
        <f>SUM(D290:D291)</f>
        <v>19.2</v>
      </c>
      <c r="E292" s="16"/>
      <c r="F292" s="24"/>
      <c r="G292" s="63"/>
      <c r="H292" s="130"/>
      <c r="I292" s="81"/>
      <c r="J292" s="81"/>
      <c r="K292" s="82"/>
      <c r="L292" s="152"/>
      <c r="M292" s="153"/>
      <c r="N292" s="153"/>
      <c r="O292" s="140"/>
      <c r="P292" s="140"/>
      <c r="Q292" s="80"/>
      <c r="R292" s="16"/>
      <c r="S292" s="153"/>
    </row>
    <row r="293" spans="1:19" x14ac:dyDescent="0.2">
      <c r="A293" s="571"/>
      <c r="B293" s="558" t="s">
        <v>711</v>
      </c>
      <c r="C293" s="140" t="s">
        <v>711</v>
      </c>
      <c r="D293" s="96">
        <v>8.1</v>
      </c>
      <c r="E293" s="543" t="s">
        <v>1521</v>
      </c>
      <c r="F293" s="552" t="s">
        <v>246</v>
      </c>
      <c r="G293" s="63" t="s">
        <v>1421</v>
      </c>
      <c r="H293" s="549" t="s">
        <v>1000</v>
      </c>
      <c r="I293" s="589">
        <v>40456</v>
      </c>
      <c r="J293" s="589">
        <v>40492</v>
      </c>
      <c r="K293" s="577">
        <v>40612</v>
      </c>
      <c r="L293" s="574">
        <v>35493.360000000001</v>
      </c>
      <c r="M293" s="574">
        <v>35459.760000000002</v>
      </c>
      <c r="N293" s="600">
        <v>100</v>
      </c>
      <c r="O293" s="624" t="s">
        <v>1930</v>
      </c>
      <c r="P293" s="582"/>
      <c r="Q293" s="571"/>
      <c r="R293" s="543" t="s">
        <v>271</v>
      </c>
      <c r="S293" s="667"/>
    </row>
    <row r="294" spans="1:19" x14ac:dyDescent="0.2">
      <c r="A294" s="572"/>
      <c r="B294" s="613"/>
      <c r="C294" s="140" t="s">
        <v>2015</v>
      </c>
      <c r="D294" s="96">
        <v>3.4</v>
      </c>
      <c r="E294" s="544"/>
      <c r="F294" s="553"/>
      <c r="G294" s="75" t="s">
        <v>2241</v>
      </c>
      <c r="H294" s="550"/>
      <c r="I294" s="590"/>
      <c r="J294" s="590"/>
      <c r="K294" s="578"/>
      <c r="L294" s="575"/>
      <c r="M294" s="575"/>
      <c r="N294" s="601"/>
      <c r="O294" s="625"/>
      <c r="P294" s="583"/>
      <c r="Q294" s="572"/>
      <c r="R294" s="544"/>
      <c r="S294" s="668"/>
    </row>
    <row r="295" spans="1:19" x14ac:dyDescent="0.2">
      <c r="A295" s="572"/>
      <c r="B295" s="613"/>
      <c r="C295" s="140" t="s">
        <v>2016</v>
      </c>
      <c r="D295" s="97">
        <v>3.1</v>
      </c>
      <c r="E295" s="544"/>
      <c r="F295" s="553"/>
      <c r="G295" s="63" t="s">
        <v>1422</v>
      </c>
      <c r="H295" s="550"/>
      <c r="I295" s="590"/>
      <c r="J295" s="590"/>
      <c r="K295" s="578"/>
      <c r="L295" s="575"/>
      <c r="M295" s="575"/>
      <c r="N295" s="601"/>
      <c r="O295" s="625"/>
      <c r="P295" s="583"/>
      <c r="Q295" s="572"/>
      <c r="R295" s="544"/>
      <c r="S295" s="668"/>
    </row>
    <row r="296" spans="1:19" x14ac:dyDescent="0.2">
      <c r="A296" s="572"/>
      <c r="B296" s="613"/>
      <c r="C296" s="227" t="s">
        <v>1922</v>
      </c>
      <c r="D296" s="98">
        <v>2</v>
      </c>
      <c r="E296" s="544"/>
      <c r="F296" s="553"/>
      <c r="G296" s="63" t="s">
        <v>1921</v>
      </c>
      <c r="H296" s="550"/>
      <c r="I296" s="590"/>
      <c r="J296" s="590"/>
      <c r="K296" s="578"/>
      <c r="L296" s="575"/>
      <c r="M296" s="575"/>
      <c r="N296" s="601"/>
      <c r="O296" s="625"/>
      <c r="P296" s="583"/>
      <c r="Q296" s="572"/>
      <c r="R296" s="544"/>
      <c r="S296" s="668"/>
    </row>
    <row r="297" spans="1:19" x14ac:dyDescent="0.2">
      <c r="A297" s="572"/>
      <c r="B297" s="613"/>
      <c r="C297" s="227" t="s">
        <v>1934</v>
      </c>
      <c r="D297" s="98">
        <v>1.6</v>
      </c>
      <c r="E297" s="544"/>
      <c r="F297" s="553"/>
      <c r="G297" s="63" t="s">
        <v>1935</v>
      </c>
      <c r="H297" s="550"/>
      <c r="I297" s="590"/>
      <c r="J297" s="590"/>
      <c r="K297" s="578"/>
      <c r="L297" s="575"/>
      <c r="M297" s="575"/>
      <c r="N297" s="601"/>
      <c r="O297" s="625"/>
      <c r="P297" s="583"/>
      <c r="Q297" s="572"/>
      <c r="R297" s="544"/>
      <c r="S297" s="668"/>
    </row>
    <row r="298" spans="1:19" x14ac:dyDescent="0.2">
      <c r="A298" s="572"/>
      <c r="B298" s="613"/>
      <c r="C298" s="227" t="s">
        <v>405</v>
      </c>
      <c r="D298" s="98">
        <v>1.4</v>
      </c>
      <c r="E298" s="544"/>
      <c r="F298" s="553"/>
      <c r="G298" s="63" t="s">
        <v>406</v>
      </c>
      <c r="H298" s="550"/>
      <c r="I298" s="590"/>
      <c r="J298" s="590"/>
      <c r="K298" s="578"/>
      <c r="L298" s="575"/>
      <c r="M298" s="575"/>
      <c r="N298" s="601"/>
      <c r="O298" s="625"/>
      <c r="P298" s="583"/>
      <c r="Q298" s="572"/>
      <c r="R298" s="544"/>
      <c r="S298" s="668"/>
    </row>
    <row r="299" spans="1:19" ht="15.75" thickBot="1" x14ac:dyDescent="0.25">
      <c r="A299" s="572"/>
      <c r="B299" s="559"/>
      <c r="C299" s="140" t="s">
        <v>2020</v>
      </c>
      <c r="D299" s="98">
        <v>1.3</v>
      </c>
      <c r="E299" s="545"/>
      <c r="F299" s="554"/>
      <c r="G299" s="63" t="s">
        <v>1423</v>
      </c>
      <c r="H299" s="551"/>
      <c r="I299" s="591"/>
      <c r="J299" s="591"/>
      <c r="K299" s="579"/>
      <c r="L299" s="575"/>
      <c r="M299" s="575"/>
      <c r="N299" s="601"/>
      <c r="O299" s="625"/>
      <c r="P299" s="583"/>
      <c r="Q299" s="573"/>
      <c r="R299" s="545"/>
      <c r="S299" s="669"/>
    </row>
    <row r="300" spans="1:19" ht="15.75" thickBot="1" x14ac:dyDescent="0.25">
      <c r="A300" s="573"/>
      <c r="B300" s="138"/>
      <c r="C300" s="140"/>
      <c r="D300" s="99">
        <f>SUM(D293:D299)</f>
        <v>20.900000000000002</v>
      </c>
      <c r="E300" s="16"/>
      <c r="F300" s="24"/>
      <c r="G300" s="63"/>
      <c r="H300" s="130"/>
      <c r="I300" s="81"/>
      <c r="J300" s="81"/>
      <c r="K300" s="82"/>
      <c r="L300" s="152"/>
      <c r="M300" s="153"/>
      <c r="N300" s="153"/>
      <c r="O300" s="145"/>
      <c r="P300" s="140"/>
      <c r="Q300" s="80"/>
      <c r="R300" s="16"/>
      <c r="S300" s="153"/>
    </row>
    <row r="301" spans="1:19" ht="12.75" customHeight="1" x14ac:dyDescent="0.2">
      <c r="A301" s="571"/>
      <c r="B301" s="558" t="s">
        <v>712</v>
      </c>
      <c r="C301" s="140" t="s">
        <v>712</v>
      </c>
      <c r="D301" s="96">
        <v>4</v>
      </c>
      <c r="E301" s="543" t="s">
        <v>1538</v>
      </c>
      <c r="F301" s="552" t="s">
        <v>246</v>
      </c>
      <c r="G301" s="63" t="s">
        <v>1424</v>
      </c>
      <c r="H301" s="549" t="s">
        <v>811</v>
      </c>
      <c r="I301" s="589">
        <v>40456</v>
      </c>
      <c r="J301" s="589">
        <v>40504</v>
      </c>
      <c r="K301" s="589">
        <v>40596</v>
      </c>
      <c r="L301" s="574">
        <v>23218.080000000002</v>
      </c>
      <c r="M301" s="574">
        <v>18171.05</v>
      </c>
      <c r="N301" s="543">
        <v>100</v>
      </c>
      <c r="O301" s="624" t="s">
        <v>1479</v>
      </c>
      <c r="P301" s="552"/>
      <c r="Q301" s="571"/>
      <c r="R301" s="543" t="s">
        <v>271</v>
      </c>
      <c r="S301" s="667"/>
    </row>
    <row r="302" spans="1:19" ht="12.75" customHeight="1" x14ac:dyDescent="0.2">
      <c r="A302" s="572"/>
      <c r="B302" s="613"/>
      <c r="C302" s="225" t="s">
        <v>2021</v>
      </c>
      <c r="D302" s="96">
        <v>2.1</v>
      </c>
      <c r="E302" s="544"/>
      <c r="F302" s="553"/>
      <c r="G302" s="63" t="s">
        <v>1425</v>
      </c>
      <c r="H302" s="550"/>
      <c r="I302" s="590"/>
      <c r="J302" s="590"/>
      <c r="K302" s="590"/>
      <c r="L302" s="575"/>
      <c r="M302" s="575"/>
      <c r="N302" s="544"/>
      <c r="O302" s="625"/>
      <c r="P302" s="553"/>
      <c r="Q302" s="572"/>
      <c r="R302" s="544"/>
      <c r="S302" s="668"/>
    </row>
    <row r="303" spans="1:19" ht="12.75" customHeight="1" x14ac:dyDescent="0.2">
      <c r="A303" s="572"/>
      <c r="B303" s="613"/>
      <c r="C303" s="140" t="s">
        <v>632</v>
      </c>
      <c r="D303" s="97">
        <v>4.2</v>
      </c>
      <c r="E303" s="544"/>
      <c r="F303" s="553"/>
      <c r="G303" s="63" t="s">
        <v>1426</v>
      </c>
      <c r="H303" s="550"/>
      <c r="I303" s="590"/>
      <c r="J303" s="590"/>
      <c r="K303" s="590"/>
      <c r="L303" s="575"/>
      <c r="M303" s="575"/>
      <c r="N303" s="544"/>
      <c r="O303" s="625"/>
      <c r="P303" s="553"/>
      <c r="Q303" s="572"/>
      <c r="R303" s="544"/>
      <c r="S303" s="668"/>
    </row>
    <row r="304" spans="1:19" ht="15.75" customHeight="1" thickBot="1" x14ac:dyDescent="0.25">
      <c r="A304" s="572"/>
      <c r="B304" s="559"/>
      <c r="C304" s="140" t="s">
        <v>939</v>
      </c>
      <c r="D304" s="98">
        <v>1</v>
      </c>
      <c r="E304" s="545"/>
      <c r="F304" s="554"/>
      <c r="G304" s="63" t="s">
        <v>1427</v>
      </c>
      <c r="H304" s="551"/>
      <c r="I304" s="591"/>
      <c r="J304" s="591"/>
      <c r="K304" s="591"/>
      <c r="L304" s="576"/>
      <c r="M304" s="576"/>
      <c r="N304" s="545"/>
      <c r="O304" s="628"/>
      <c r="P304" s="554"/>
      <c r="Q304" s="573"/>
      <c r="R304" s="545"/>
      <c r="S304" s="669"/>
    </row>
    <row r="305" spans="1:19" x14ac:dyDescent="0.2">
      <c r="A305" s="573"/>
      <c r="B305" s="138"/>
      <c r="C305" s="143"/>
      <c r="D305" s="193">
        <f>SUM(D301:D304)</f>
        <v>11.3</v>
      </c>
      <c r="E305" s="16"/>
      <c r="F305" s="198"/>
      <c r="G305" s="102"/>
      <c r="H305" s="132"/>
      <c r="I305" s="92"/>
      <c r="J305" s="92"/>
      <c r="K305" s="93"/>
      <c r="L305" s="150"/>
      <c r="M305" s="153"/>
      <c r="N305" s="153"/>
      <c r="O305" s="140"/>
      <c r="P305" s="140"/>
      <c r="Q305" s="66"/>
      <c r="R305" s="199"/>
      <c r="S305" s="155"/>
    </row>
    <row r="306" spans="1:19" s="63" customFormat="1" ht="45.75" thickBot="1" x14ac:dyDescent="0.25">
      <c r="A306" s="80"/>
      <c r="B306" s="20" t="s">
        <v>1995</v>
      </c>
      <c r="C306" s="20" t="s">
        <v>1995</v>
      </c>
      <c r="D306" s="98">
        <f>5.535</f>
        <v>5.5350000000000001</v>
      </c>
      <c r="E306" s="152" t="s">
        <v>1840</v>
      </c>
      <c r="F306" s="129" t="s">
        <v>246</v>
      </c>
      <c r="G306" s="63" t="s">
        <v>1428</v>
      </c>
      <c r="H306" s="115" t="s">
        <v>1163</v>
      </c>
      <c r="I306" s="197">
        <v>40525</v>
      </c>
      <c r="J306" s="197">
        <v>40547</v>
      </c>
      <c r="K306" s="221">
        <v>40637</v>
      </c>
      <c r="L306" s="152">
        <v>30676.7</v>
      </c>
      <c r="M306" s="165">
        <v>14508.4</v>
      </c>
      <c r="N306" s="170">
        <v>100</v>
      </c>
      <c r="O306" s="127" t="s">
        <v>635</v>
      </c>
      <c r="P306" s="128" t="s">
        <v>1253</v>
      </c>
      <c r="Q306" s="80"/>
      <c r="R306" s="150" t="s">
        <v>271</v>
      </c>
      <c r="S306" s="153"/>
    </row>
    <row r="307" spans="1:19" s="63" customFormat="1" ht="15.75" thickBot="1" x14ac:dyDescent="0.25">
      <c r="A307" s="80"/>
      <c r="B307" s="20"/>
      <c r="C307" s="20"/>
      <c r="D307" s="99">
        <f>SUM(D306)</f>
        <v>5.5350000000000001</v>
      </c>
      <c r="E307" s="152"/>
      <c r="F307" s="129"/>
      <c r="H307" s="115"/>
      <c r="I307" s="197"/>
      <c r="J307" s="81"/>
      <c r="K307" s="82"/>
      <c r="L307" s="152"/>
      <c r="M307" s="153"/>
      <c r="N307" s="153"/>
      <c r="O307" s="140"/>
      <c r="P307" s="140"/>
      <c r="Q307" s="80"/>
      <c r="R307" s="150"/>
      <c r="S307" s="153"/>
    </row>
    <row r="308" spans="1:19" s="63" customFormat="1" ht="45.75" thickBot="1" x14ac:dyDescent="0.25">
      <c r="A308" s="80"/>
      <c r="B308" s="20" t="s">
        <v>1996</v>
      </c>
      <c r="C308" s="20" t="s">
        <v>1996</v>
      </c>
      <c r="D308" s="98">
        <f>9.9-5.535</f>
        <v>4.3650000000000002</v>
      </c>
      <c r="E308" s="152" t="s">
        <v>1840</v>
      </c>
      <c r="F308" s="129" t="s">
        <v>246</v>
      </c>
      <c r="G308" s="63" t="s">
        <v>1428</v>
      </c>
      <c r="H308" s="115" t="s">
        <v>1164</v>
      </c>
      <c r="I308" s="197">
        <v>40525</v>
      </c>
      <c r="J308" s="197">
        <v>40578</v>
      </c>
      <c r="K308" s="221">
        <v>40667</v>
      </c>
      <c r="L308" s="165">
        <v>25708.27</v>
      </c>
      <c r="M308" s="165">
        <v>16740.2</v>
      </c>
      <c r="N308" s="170">
        <v>100</v>
      </c>
      <c r="O308" s="127" t="s">
        <v>677</v>
      </c>
      <c r="P308" s="140"/>
      <c r="Q308" s="80"/>
      <c r="R308" s="150" t="s">
        <v>271</v>
      </c>
      <c r="S308" s="153"/>
    </row>
    <row r="309" spans="1:19" s="63" customFormat="1" ht="15.75" thickBot="1" x14ac:dyDescent="0.25">
      <c r="A309" s="80"/>
      <c r="B309" s="20"/>
      <c r="C309" s="20"/>
      <c r="D309" s="99">
        <f>SUM(D308)</f>
        <v>4.3650000000000002</v>
      </c>
      <c r="E309" s="152"/>
      <c r="F309" s="129"/>
      <c r="H309" s="115"/>
      <c r="I309" s="197"/>
      <c r="J309" s="81"/>
      <c r="K309" s="82"/>
      <c r="L309" s="152"/>
      <c r="M309" s="153"/>
      <c r="N309" s="153"/>
      <c r="O309" s="140"/>
      <c r="P309" s="140"/>
      <c r="Q309" s="80"/>
      <c r="R309" s="150"/>
      <c r="S309" s="153"/>
    </row>
    <row r="310" spans="1:19" s="63" customFormat="1" ht="45.75" thickBot="1" x14ac:dyDescent="0.25">
      <c r="A310" s="80"/>
      <c r="B310" s="20" t="s">
        <v>1997</v>
      </c>
      <c r="C310" s="20" t="s">
        <v>1997</v>
      </c>
      <c r="D310" s="98">
        <f>19.1-9.9</f>
        <v>9.2000000000000011</v>
      </c>
      <c r="E310" s="152" t="s">
        <v>1840</v>
      </c>
      <c r="F310" s="24" t="s">
        <v>246</v>
      </c>
      <c r="G310" s="63" t="s">
        <v>1428</v>
      </c>
      <c r="H310" s="115" t="s">
        <v>1165</v>
      </c>
      <c r="I310" s="197">
        <v>40525</v>
      </c>
      <c r="J310" s="197">
        <v>40546</v>
      </c>
      <c r="K310" s="221">
        <v>40636</v>
      </c>
      <c r="L310" s="167">
        <v>42235.6</v>
      </c>
      <c r="M310" s="167">
        <v>31515.74</v>
      </c>
      <c r="N310" s="170">
        <v>100</v>
      </c>
      <c r="O310" s="127" t="s">
        <v>676</v>
      </c>
      <c r="P310" s="140"/>
      <c r="Q310" s="80"/>
      <c r="R310" s="152" t="s">
        <v>271</v>
      </c>
      <c r="S310" s="153"/>
    </row>
    <row r="311" spans="1:19" ht="15.75" thickBot="1" x14ac:dyDescent="0.25">
      <c r="A311" s="67"/>
      <c r="B311" s="138"/>
      <c r="C311" s="196"/>
      <c r="D311" s="99">
        <f>SUM(D310)</f>
        <v>9.2000000000000011</v>
      </c>
      <c r="E311" s="16"/>
      <c r="F311" s="132"/>
      <c r="G311" s="191"/>
      <c r="H311" s="132"/>
      <c r="I311" s="194"/>
      <c r="J311" s="194"/>
      <c r="K311" s="195"/>
      <c r="L311" s="16"/>
      <c r="M311" s="192"/>
      <c r="N311" s="192"/>
      <c r="O311" s="196"/>
      <c r="P311" s="196"/>
      <c r="Q311" s="68"/>
      <c r="R311" s="16"/>
      <c r="S311" s="192"/>
    </row>
    <row r="312" spans="1:19" ht="15.75" thickBot="1" x14ac:dyDescent="0.25">
      <c r="A312" s="560"/>
      <c r="B312" s="20" t="s">
        <v>705</v>
      </c>
      <c r="C312" s="140" t="s">
        <v>1036</v>
      </c>
      <c r="D312" s="96">
        <v>8</v>
      </c>
      <c r="E312" s="152" t="s">
        <v>656</v>
      </c>
      <c r="F312" s="129" t="s">
        <v>136</v>
      </c>
      <c r="G312" s="63" t="s">
        <v>1429</v>
      </c>
      <c r="H312" s="24" t="s">
        <v>1941</v>
      </c>
      <c r="I312" s="122"/>
      <c r="J312" s="122"/>
      <c r="K312" s="216"/>
      <c r="L312" s="164">
        <v>4956</v>
      </c>
      <c r="M312" s="164"/>
      <c r="N312" s="150"/>
      <c r="O312" s="121"/>
      <c r="P312" s="126"/>
      <c r="Q312" s="66"/>
      <c r="R312" s="152" t="s">
        <v>271</v>
      </c>
      <c r="S312" s="150"/>
    </row>
    <row r="313" spans="1:19" s="105" customFormat="1" ht="15.75" thickBot="1" x14ac:dyDescent="0.25">
      <c r="A313" s="561"/>
      <c r="B313" s="131"/>
      <c r="C313" s="140"/>
      <c r="D313" s="99">
        <f>SUM(D312)</f>
        <v>8</v>
      </c>
      <c r="E313" s="151"/>
      <c r="F313" s="24"/>
      <c r="G313" s="63"/>
      <c r="H313" s="36"/>
      <c r="I313" s="81"/>
      <c r="J313" s="81"/>
      <c r="K313" s="82"/>
      <c r="L313" s="152"/>
      <c r="M313" s="153"/>
      <c r="N313" s="153"/>
      <c r="O313" s="140"/>
      <c r="P313" s="140"/>
      <c r="Q313" s="80"/>
      <c r="R313" s="151"/>
      <c r="S313" s="153"/>
    </row>
    <row r="314" spans="1:19" ht="15.75" thickBot="1" x14ac:dyDescent="0.25">
      <c r="A314" s="560"/>
      <c r="B314" s="20" t="s">
        <v>706</v>
      </c>
      <c r="C314" s="140" t="s">
        <v>1036</v>
      </c>
      <c r="D314" s="96">
        <v>7.7</v>
      </c>
      <c r="E314" s="152" t="s">
        <v>656</v>
      </c>
      <c r="F314" s="129" t="s">
        <v>136</v>
      </c>
      <c r="G314" s="63" t="s">
        <v>1429</v>
      </c>
      <c r="H314" s="24" t="s">
        <v>1942</v>
      </c>
      <c r="I314" s="122"/>
      <c r="J314" s="122"/>
      <c r="K314" s="216"/>
      <c r="L314" s="164">
        <v>4710.8</v>
      </c>
      <c r="M314" s="164"/>
      <c r="N314" s="150"/>
      <c r="O314" s="121"/>
      <c r="P314" s="126"/>
      <c r="Q314" s="66"/>
      <c r="R314" s="152" t="s">
        <v>271</v>
      </c>
      <c r="S314" s="150"/>
    </row>
    <row r="315" spans="1:19" s="105" customFormat="1" ht="15.75" thickBot="1" x14ac:dyDescent="0.25">
      <c r="A315" s="561"/>
      <c r="B315" s="131"/>
      <c r="C315" s="140"/>
      <c r="D315" s="99">
        <f>SUM(D314)</f>
        <v>7.7</v>
      </c>
      <c r="E315" s="151"/>
      <c r="F315" s="24"/>
      <c r="G315" s="63"/>
      <c r="H315" s="36"/>
      <c r="I315" s="81"/>
      <c r="J315" s="81"/>
      <c r="K315" s="82"/>
      <c r="L315" s="152"/>
      <c r="M315" s="153"/>
      <c r="N315" s="153"/>
      <c r="O315" s="140"/>
      <c r="P315" s="140"/>
      <c r="Q315" s="80"/>
      <c r="R315" s="151"/>
      <c r="S315" s="153"/>
    </row>
    <row r="316" spans="1:19" ht="30.75" thickBot="1" x14ac:dyDescent="0.25">
      <c r="A316" s="562"/>
      <c r="B316" s="131" t="s">
        <v>1399</v>
      </c>
      <c r="C316" s="139" t="s">
        <v>1400</v>
      </c>
      <c r="D316" s="176">
        <v>12</v>
      </c>
      <c r="E316" s="151" t="s">
        <v>947</v>
      </c>
      <c r="F316" s="36" t="s">
        <v>136</v>
      </c>
      <c r="G316" s="75" t="s">
        <v>1430</v>
      </c>
      <c r="H316" s="36" t="s">
        <v>721</v>
      </c>
      <c r="I316" s="190">
        <v>40441</v>
      </c>
      <c r="J316" s="190">
        <v>40479</v>
      </c>
      <c r="K316" s="222">
        <v>40539</v>
      </c>
      <c r="L316" s="165">
        <v>7170</v>
      </c>
      <c r="M316" s="165">
        <v>6350.95</v>
      </c>
      <c r="N316" s="170">
        <v>100</v>
      </c>
      <c r="O316" s="127" t="s">
        <v>492</v>
      </c>
      <c r="P316" s="128"/>
      <c r="Q316" s="67" t="s">
        <v>1155</v>
      </c>
      <c r="R316" s="151" t="s">
        <v>271</v>
      </c>
      <c r="S316" s="16">
        <v>1</v>
      </c>
    </row>
    <row r="317" spans="1:19" ht="15.75" thickBot="1" x14ac:dyDescent="0.25">
      <c r="A317" s="561"/>
      <c r="B317" s="138"/>
      <c r="C317" s="140"/>
      <c r="D317" s="99">
        <f>SUM(D316)</f>
        <v>12</v>
      </c>
      <c r="E317" s="16"/>
      <c r="F317" s="24"/>
      <c r="G317" s="63"/>
      <c r="H317" s="132"/>
      <c r="I317" s="81"/>
      <c r="J317" s="81"/>
      <c r="K317" s="82"/>
      <c r="L317" s="152"/>
      <c r="M317" s="153"/>
      <c r="N317" s="153"/>
      <c r="O317" s="140"/>
      <c r="P317" s="140"/>
      <c r="Q317" s="80"/>
      <c r="R317" s="16"/>
      <c r="S317" s="153"/>
    </row>
    <row r="318" spans="1:19" x14ac:dyDescent="0.2">
      <c r="A318" s="560"/>
      <c r="B318" s="558" t="s">
        <v>1401</v>
      </c>
      <c r="C318" s="147" t="s">
        <v>1401</v>
      </c>
      <c r="D318" s="90"/>
      <c r="E318" s="543" t="s">
        <v>947</v>
      </c>
      <c r="F318" s="552" t="s">
        <v>136</v>
      </c>
      <c r="G318" s="63" t="s">
        <v>1431</v>
      </c>
      <c r="H318" s="549" t="s">
        <v>2164</v>
      </c>
      <c r="I318" s="589">
        <v>40423</v>
      </c>
      <c r="J318" s="589"/>
      <c r="K318" s="577"/>
      <c r="L318" s="588">
        <v>3660</v>
      </c>
      <c r="M318" s="588"/>
      <c r="N318" s="543"/>
      <c r="O318" s="580"/>
      <c r="P318" s="580"/>
      <c r="Q318" s="571"/>
      <c r="R318" s="546" t="s">
        <v>271</v>
      </c>
      <c r="S318" s="543"/>
    </row>
    <row r="319" spans="1:19" ht="15.75" thickBot="1" x14ac:dyDescent="0.25">
      <c r="A319" s="562"/>
      <c r="B319" s="559"/>
      <c r="C319" s="147" t="s">
        <v>1976</v>
      </c>
      <c r="D319" s="91"/>
      <c r="E319" s="545"/>
      <c r="F319" s="554"/>
      <c r="G319" s="63" t="s">
        <v>2090</v>
      </c>
      <c r="H319" s="551"/>
      <c r="I319" s="591"/>
      <c r="J319" s="591"/>
      <c r="K319" s="579"/>
      <c r="L319" s="586"/>
      <c r="M319" s="586"/>
      <c r="N319" s="544"/>
      <c r="O319" s="581"/>
      <c r="P319" s="581"/>
      <c r="Q319" s="573"/>
      <c r="R319" s="548"/>
      <c r="S319" s="544"/>
    </row>
    <row r="320" spans="1:19" ht="15.75" thickBot="1" x14ac:dyDescent="0.25">
      <c r="A320" s="561"/>
      <c r="B320" s="138"/>
      <c r="C320" s="147"/>
      <c r="D320" s="94"/>
      <c r="E320" s="154"/>
      <c r="F320" s="24"/>
      <c r="G320" s="63"/>
      <c r="H320" s="132"/>
      <c r="I320" s="81"/>
      <c r="J320" s="81"/>
      <c r="K320" s="82"/>
      <c r="L320" s="152"/>
      <c r="M320" s="153"/>
      <c r="N320" s="153"/>
      <c r="O320" s="140"/>
      <c r="P320" s="140"/>
      <c r="Q320" s="80"/>
      <c r="R320" s="136"/>
      <c r="S320" s="153"/>
    </row>
    <row r="321" spans="1:19" ht="30.75" thickBot="1" x14ac:dyDescent="0.25">
      <c r="A321" s="560"/>
      <c r="B321" s="20" t="s">
        <v>1901</v>
      </c>
      <c r="C321" s="147" t="s">
        <v>1901</v>
      </c>
      <c r="D321" s="90">
        <v>8</v>
      </c>
      <c r="E321" s="9" t="s">
        <v>947</v>
      </c>
      <c r="F321" s="24" t="s">
        <v>136</v>
      </c>
      <c r="G321" s="63" t="s">
        <v>1432</v>
      </c>
      <c r="H321" s="24" t="s">
        <v>1902</v>
      </c>
      <c r="I321" s="190">
        <v>40428</v>
      </c>
      <c r="J321" s="190">
        <v>40479</v>
      </c>
      <c r="K321" s="222">
        <v>40539</v>
      </c>
      <c r="L321" s="167">
        <v>4892</v>
      </c>
      <c r="M321" s="167">
        <v>4770.05</v>
      </c>
      <c r="N321" s="152">
        <v>100</v>
      </c>
      <c r="O321" s="107" t="s">
        <v>2104</v>
      </c>
      <c r="P321" s="107"/>
      <c r="Q321" s="80" t="s">
        <v>1242</v>
      </c>
      <c r="R321" s="9" t="s">
        <v>271</v>
      </c>
      <c r="S321" s="152">
        <v>1</v>
      </c>
    </row>
    <row r="322" spans="1:19" ht="15.75" thickBot="1" x14ac:dyDescent="0.25">
      <c r="A322" s="561"/>
      <c r="B322" s="138"/>
      <c r="C322" s="187"/>
      <c r="D322" s="101">
        <f>SUM(D321)</f>
        <v>8</v>
      </c>
      <c r="E322" s="136"/>
      <c r="F322" s="36"/>
      <c r="G322" s="75"/>
      <c r="H322" s="132"/>
      <c r="I322" s="76"/>
      <c r="J322" s="76"/>
      <c r="K322" s="77"/>
      <c r="L322" s="151"/>
      <c r="M322" s="149"/>
      <c r="N322" s="149"/>
      <c r="O322" s="139"/>
      <c r="P322" s="139"/>
      <c r="Q322" s="67"/>
      <c r="R322" s="136"/>
      <c r="S322" s="149"/>
    </row>
    <row r="323" spans="1:19" x14ac:dyDescent="0.2">
      <c r="A323" s="560"/>
      <c r="B323" s="558" t="s">
        <v>1809</v>
      </c>
      <c r="C323" s="147" t="s">
        <v>1809</v>
      </c>
      <c r="D323" s="90">
        <v>1.5</v>
      </c>
      <c r="E323" s="546" t="s">
        <v>947</v>
      </c>
      <c r="F323" s="552" t="s">
        <v>136</v>
      </c>
      <c r="G323" s="63" t="s">
        <v>1433</v>
      </c>
      <c r="H323" s="549" t="s">
        <v>1903</v>
      </c>
      <c r="I323" s="595">
        <v>40423</v>
      </c>
      <c r="J323" s="595">
        <v>40484</v>
      </c>
      <c r="K323" s="595">
        <v>40545</v>
      </c>
      <c r="L323" s="574">
        <v>8500</v>
      </c>
      <c r="M323" s="588">
        <v>6109</v>
      </c>
      <c r="N323" s="543">
        <v>100</v>
      </c>
      <c r="O323" s="580" t="s">
        <v>175</v>
      </c>
      <c r="P323" s="580"/>
      <c r="Q323" s="571"/>
      <c r="R323" s="546" t="s">
        <v>271</v>
      </c>
      <c r="S323" s="543"/>
    </row>
    <row r="324" spans="1:19" x14ac:dyDescent="0.2">
      <c r="A324" s="562"/>
      <c r="B324" s="613"/>
      <c r="C324" s="147" t="s">
        <v>793</v>
      </c>
      <c r="D324" s="78">
        <v>4</v>
      </c>
      <c r="E324" s="547"/>
      <c r="F324" s="553"/>
      <c r="G324" s="63" t="s">
        <v>1434</v>
      </c>
      <c r="H324" s="550"/>
      <c r="I324" s="596"/>
      <c r="J324" s="596"/>
      <c r="K324" s="596"/>
      <c r="L324" s="575"/>
      <c r="M324" s="586"/>
      <c r="N324" s="544"/>
      <c r="O324" s="581"/>
      <c r="P324" s="581"/>
      <c r="Q324" s="572"/>
      <c r="R324" s="547"/>
      <c r="S324" s="544"/>
    </row>
    <row r="325" spans="1:19" x14ac:dyDescent="0.2">
      <c r="A325" s="562"/>
      <c r="B325" s="613"/>
      <c r="C325" s="147" t="s">
        <v>344</v>
      </c>
      <c r="D325" s="78">
        <v>3.2</v>
      </c>
      <c r="E325" s="547"/>
      <c r="F325" s="553"/>
      <c r="G325" s="234"/>
      <c r="H325" s="550"/>
      <c r="I325" s="596"/>
      <c r="J325" s="596"/>
      <c r="K325" s="596"/>
      <c r="L325" s="575"/>
      <c r="M325" s="586"/>
      <c r="N325" s="544"/>
      <c r="O325" s="581"/>
      <c r="P325" s="581"/>
      <c r="Q325" s="572"/>
      <c r="R325" s="547"/>
      <c r="S325" s="544"/>
    </row>
    <row r="326" spans="1:19" x14ac:dyDescent="0.2">
      <c r="A326" s="562"/>
      <c r="B326" s="613"/>
      <c r="C326" s="233" t="s">
        <v>581</v>
      </c>
      <c r="D326" s="120">
        <v>2.2000000000000002</v>
      </c>
      <c r="E326" s="547"/>
      <c r="F326" s="553"/>
      <c r="G326" s="234"/>
      <c r="H326" s="550"/>
      <c r="I326" s="596"/>
      <c r="J326" s="596"/>
      <c r="K326" s="596"/>
      <c r="L326" s="575"/>
      <c r="M326" s="586"/>
      <c r="N326" s="544"/>
      <c r="O326" s="581"/>
      <c r="P326" s="581"/>
      <c r="Q326" s="572"/>
      <c r="R326" s="547"/>
      <c r="S326" s="544"/>
    </row>
    <row r="327" spans="1:19" ht="15.75" thickBot="1" x14ac:dyDescent="0.25">
      <c r="A327" s="562"/>
      <c r="B327" s="559"/>
      <c r="C327" s="188" t="s">
        <v>174</v>
      </c>
      <c r="D327" s="91">
        <v>2.5</v>
      </c>
      <c r="E327" s="548"/>
      <c r="F327" s="554"/>
      <c r="G327" s="234"/>
      <c r="H327" s="551"/>
      <c r="I327" s="598"/>
      <c r="J327" s="598"/>
      <c r="K327" s="598"/>
      <c r="L327" s="575"/>
      <c r="M327" s="586"/>
      <c r="N327" s="545"/>
      <c r="O327" s="581"/>
      <c r="P327" s="581"/>
      <c r="Q327" s="573"/>
      <c r="R327" s="548"/>
      <c r="S327" s="545"/>
    </row>
    <row r="328" spans="1:19" ht="15.75" thickBot="1" x14ac:dyDescent="0.25">
      <c r="A328" s="561"/>
      <c r="B328" s="138"/>
      <c r="C328" s="147"/>
      <c r="D328" s="101">
        <f>SUM(D323:D327)</f>
        <v>13.399999999999999</v>
      </c>
      <c r="E328" s="136"/>
      <c r="F328" s="24"/>
      <c r="G328" s="63"/>
      <c r="H328" s="132"/>
      <c r="I328" s="81"/>
      <c r="J328" s="81"/>
      <c r="K328" s="82"/>
      <c r="L328" s="152"/>
      <c r="M328" s="153"/>
      <c r="N328" s="153"/>
      <c r="O328" s="140"/>
      <c r="P328" s="140"/>
      <c r="Q328" s="80"/>
      <c r="R328" s="136"/>
      <c r="S328" s="153"/>
    </row>
    <row r="329" spans="1:19" ht="30.75" thickBot="1" x14ac:dyDescent="0.25">
      <c r="A329" s="560"/>
      <c r="B329" s="23" t="s">
        <v>794</v>
      </c>
      <c r="C329" s="147" t="s">
        <v>794</v>
      </c>
      <c r="D329" s="100">
        <v>15</v>
      </c>
      <c r="E329" s="48" t="s">
        <v>947</v>
      </c>
      <c r="F329" s="129" t="s">
        <v>136</v>
      </c>
      <c r="G329" s="63" t="s">
        <v>2090</v>
      </c>
      <c r="H329" s="129" t="s">
        <v>795</v>
      </c>
      <c r="I329" s="190">
        <v>40428</v>
      </c>
      <c r="J329" s="190">
        <v>40471</v>
      </c>
      <c r="K329" s="222">
        <v>40531</v>
      </c>
      <c r="L329" s="168">
        <v>7800</v>
      </c>
      <c r="M329" s="165">
        <v>6629.3</v>
      </c>
      <c r="N329" s="158">
        <v>100</v>
      </c>
      <c r="O329" s="116" t="s">
        <v>1240</v>
      </c>
      <c r="P329" s="121"/>
      <c r="Q329" s="66" t="s">
        <v>956</v>
      </c>
      <c r="R329" s="48" t="s">
        <v>271</v>
      </c>
      <c r="S329" s="158">
        <v>1</v>
      </c>
    </row>
    <row r="330" spans="1:19" ht="15.75" thickBot="1" x14ac:dyDescent="0.25">
      <c r="A330" s="561"/>
      <c r="B330" s="178"/>
      <c r="C330" s="140"/>
      <c r="D330" s="101">
        <f>SUM(D329)</f>
        <v>15</v>
      </c>
      <c r="E330" s="153"/>
      <c r="F330" s="24"/>
      <c r="G330" s="63"/>
      <c r="H330" s="24"/>
      <c r="I330" s="81"/>
      <c r="J330" s="81"/>
      <c r="K330" s="82"/>
      <c r="L330" s="152"/>
      <c r="M330" s="153"/>
      <c r="N330" s="153"/>
      <c r="O330" s="140"/>
      <c r="P330" s="140"/>
      <c r="Q330" s="80"/>
      <c r="R330" s="153"/>
      <c r="S330" s="153"/>
    </row>
    <row r="331" spans="1:19" ht="30.75" thickBot="1" x14ac:dyDescent="0.25">
      <c r="A331" s="560"/>
      <c r="B331" s="23" t="s">
        <v>139</v>
      </c>
      <c r="C331" s="147" t="s">
        <v>139</v>
      </c>
      <c r="D331" s="100">
        <v>15</v>
      </c>
      <c r="E331" s="48" t="s">
        <v>947</v>
      </c>
      <c r="F331" s="129" t="s">
        <v>136</v>
      </c>
      <c r="G331" s="63" t="s">
        <v>2089</v>
      </c>
      <c r="H331" s="129" t="s">
        <v>1910</v>
      </c>
      <c r="I331" s="190">
        <v>40428</v>
      </c>
      <c r="J331" s="190">
        <v>40483</v>
      </c>
      <c r="K331" s="222">
        <v>40574</v>
      </c>
      <c r="L331" s="168">
        <v>9140</v>
      </c>
      <c r="M331" s="165">
        <v>8766.7999999999993</v>
      </c>
      <c r="N331" s="16">
        <v>100</v>
      </c>
      <c r="O331" s="116" t="s">
        <v>2232</v>
      </c>
      <c r="P331" s="121"/>
      <c r="Q331" s="66" t="s">
        <v>1241</v>
      </c>
      <c r="R331" s="48" t="s">
        <v>271</v>
      </c>
      <c r="S331" s="16">
        <v>1</v>
      </c>
    </row>
    <row r="332" spans="1:19" ht="15.75" thickBot="1" x14ac:dyDescent="0.25">
      <c r="A332" s="561"/>
      <c r="B332" s="178"/>
      <c r="C332" s="140"/>
      <c r="D332" s="101">
        <f>SUM(D331)</f>
        <v>15</v>
      </c>
      <c r="E332" s="153"/>
      <c r="F332" s="24"/>
      <c r="G332" s="63"/>
      <c r="H332" s="24"/>
      <c r="I332" s="81"/>
      <c r="J332" s="81"/>
      <c r="K332" s="82"/>
      <c r="L332" s="152"/>
      <c r="M332" s="153"/>
      <c r="N332" s="153"/>
      <c r="O332" s="140"/>
      <c r="P332" s="140"/>
      <c r="Q332" s="80"/>
      <c r="R332" s="153"/>
      <c r="S332" s="153"/>
    </row>
    <row r="333" spans="1:19" ht="30.75" thickBot="1" x14ac:dyDescent="0.25">
      <c r="A333" s="560"/>
      <c r="B333" s="23" t="s">
        <v>2093</v>
      </c>
      <c r="C333" s="147" t="s">
        <v>2093</v>
      </c>
      <c r="D333" s="100">
        <v>6</v>
      </c>
      <c r="E333" s="48" t="s">
        <v>947</v>
      </c>
      <c r="F333" s="129" t="s">
        <v>136</v>
      </c>
      <c r="G333" s="63" t="s">
        <v>849</v>
      </c>
      <c r="H333" s="129" t="s">
        <v>835</v>
      </c>
      <c r="I333" s="190">
        <v>40428</v>
      </c>
      <c r="J333" s="190">
        <v>40483</v>
      </c>
      <c r="K333" s="222">
        <v>40574</v>
      </c>
      <c r="L333" s="168">
        <v>3840</v>
      </c>
      <c r="M333" s="168">
        <v>3800.45</v>
      </c>
      <c r="N333" s="16">
        <v>100</v>
      </c>
      <c r="O333" s="116" t="s">
        <v>1482</v>
      </c>
      <c r="P333" s="121"/>
      <c r="Q333" s="66" t="s">
        <v>1481</v>
      </c>
      <c r="R333" s="48" t="s">
        <v>271</v>
      </c>
      <c r="S333" s="16">
        <v>1</v>
      </c>
    </row>
    <row r="334" spans="1:19" ht="15.75" thickBot="1" x14ac:dyDescent="0.25">
      <c r="A334" s="561"/>
      <c r="B334" s="178"/>
      <c r="C334" s="140"/>
      <c r="D334" s="101">
        <f>SUM(D333)</f>
        <v>6</v>
      </c>
      <c r="E334" s="153"/>
      <c r="F334" s="24"/>
      <c r="G334" s="63"/>
      <c r="H334" s="24"/>
      <c r="I334" s="81"/>
      <c r="J334" s="81"/>
      <c r="K334" s="82"/>
      <c r="L334" s="152"/>
      <c r="M334" s="153"/>
      <c r="N334" s="153"/>
      <c r="O334" s="140"/>
      <c r="P334" s="140"/>
      <c r="Q334" s="80"/>
      <c r="R334" s="153"/>
      <c r="S334" s="153"/>
    </row>
    <row r="335" spans="1:19" ht="30.75" thickBot="1" x14ac:dyDescent="0.25">
      <c r="A335" s="562"/>
      <c r="B335" s="131" t="s">
        <v>836</v>
      </c>
      <c r="C335" s="140" t="s">
        <v>836</v>
      </c>
      <c r="D335" s="91">
        <v>14</v>
      </c>
      <c r="E335" s="136" t="s">
        <v>1287</v>
      </c>
      <c r="F335" s="36" t="s">
        <v>136</v>
      </c>
      <c r="G335" s="63" t="s">
        <v>1435</v>
      </c>
      <c r="H335" s="36" t="s">
        <v>1182</v>
      </c>
      <c r="I335" s="190">
        <v>40338</v>
      </c>
      <c r="J335" s="190">
        <v>40463</v>
      </c>
      <c r="K335" s="222">
        <v>40523</v>
      </c>
      <c r="L335" s="165">
        <v>8516</v>
      </c>
      <c r="M335" s="165">
        <v>8331.1</v>
      </c>
      <c r="N335" s="16">
        <v>100</v>
      </c>
      <c r="O335" s="116" t="s">
        <v>2232</v>
      </c>
      <c r="P335" s="116"/>
      <c r="Q335" s="67" t="s">
        <v>540</v>
      </c>
      <c r="R335" s="136" t="s">
        <v>271</v>
      </c>
      <c r="S335" s="16">
        <v>1</v>
      </c>
    </row>
    <row r="336" spans="1:19" ht="15.75" thickBot="1" x14ac:dyDescent="0.25">
      <c r="A336" s="561"/>
      <c r="B336" s="178"/>
      <c r="C336" s="140"/>
      <c r="D336" s="101">
        <f>SUM(D335)</f>
        <v>14</v>
      </c>
      <c r="E336" s="153"/>
      <c r="F336" s="36"/>
      <c r="G336" s="63"/>
      <c r="H336" s="24"/>
      <c r="I336" s="81"/>
      <c r="J336" s="81"/>
      <c r="K336" s="82"/>
      <c r="L336" s="152"/>
      <c r="M336" s="153"/>
      <c r="N336" s="153"/>
      <c r="O336" s="140"/>
      <c r="P336" s="140"/>
      <c r="Q336" s="80"/>
      <c r="R336" s="153"/>
      <c r="S336" s="153"/>
    </row>
    <row r="337" spans="1:19" ht="30.75" thickBot="1" x14ac:dyDescent="0.25">
      <c r="A337" s="562"/>
      <c r="B337" s="131" t="s">
        <v>1034</v>
      </c>
      <c r="C337" s="140" t="s">
        <v>1183</v>
      </c>
      <c r="D337" s="91">
        <v>14</v>
      </c>
      <c r="E337" s="136" t="s">
        <v>1287</v>
      </c>
      <c r="F337" s="36" t="s">
        <v>136</v>
      </c>
      <c r="G337" s="63" t="s">
        <v>1436</v>
      </c>
      <c r="H337" s="36" t="s">
        <v>1035</v>
      </c>
      <c r="I337" s="190">
        <v>40338</v>
      </c>
      <c r="J337" s="190">
        <v>40463</v>
      </c>
      <c r="K337" s="222">
        <v>40523</v>
      </c>
      <c r="L337" s="165">
        <v>8516</v>
      </c>
      <c r="M337" s="165">
        <v>6932</v>
      </c>
      <c r="N337" s="16">
        <v>100</v>
      </c>
      <c r="O337" s="116" t="s">
        <v>1240</v>
      </c>
      <c r="P337" s="116"/>
      <c r="Q337" s="67" t="s">
        <v>1089</v>
      </c>
      <c r="R337" s="136" t="s">
        <v>271</v>
      </c>
      <c r="S337" s="16">
        <v>1</v>
      </c>
    </row>
    <row r="338" spans="1:19" ht="15.75" thickBot="1" x14ac:dyDescent="0.25">
      <c r="A338" s="561"/>
      <c r="B338" s="178"/>
      <c r="C338" s="140"/>
      <c r="D338" s="101">
        <f>SUM(D337)</f>
        <v>14</v>
      </c>
      <c r="E338" s="153"/>
      <c r="F338" s="36"/>
      <c r="G338" s="63"/>
      <c r="H338" s="24"/>
      <c r="I338" s="81"/>
      <c r="J338" s="81"/>
      <c r="K338" s="82"/>
      <c r="L338" s="152"/>
      <c r="M338" s="153"/>
      <c r="N338" s="153"/>
      <c r="O338" s="140"/>
      <c r="P338" s="140"/>
      <c r="Q338" s="80"/>
      <c r="R338" s="153"/>
      <c r="S338" s="153"/>
    </row>
    <row r="339" spans="1:19" ht="30.75" thickBot="1" x14ac:dyDescent="0.25">
      <c r="A339" s="562"/>
      <c r="B339" s="23" t="s">
        <v>137</v>
      </c>
      <c r="C339" s="140" t="s">
        <v>137</v>
      </c>
      <c r="D339" s="78">
        <v>6.4</v>
      </c>
      <c r="E339" s="151" t="s">
        <v>1287</v>
      </c>
      <c r="F339" s="135" t="s">
        <v>136</v>
      </c>
      <c r="G339" s="63" t="s">
        <v>1437</v>
      </c>
      <c r="H339" s="138" t="s">
        <v>138</v>
      </c>
      <c r="I339" s="190">
        <v>40338</v>
      </c>
      <c r="J339" s="190">
        <v>40479</v>
      </c>
      <c r="K339" s="222">
        <v>40539</v>
      </c>
      <c r="L339" s="165">
        <v>3925.6</v>
      </c>
      <c r="M339" s="165">
        <v>3902</v>
      </c>
      <c r="N339" s="16">
        <v>100</v>
      </c>
      <c r="O339" s="181" t="s">
        <v>734</v>
      </c>
      <c r="P339" s="181"/>
      <c r="Q339" s="67" t="s">
        <v>733</v>
      </c>
      <c r="R339" s="159" t="s">
        <v>271</v>
      </c>
      <c r="S339" s="16">
        <v>1</v>
      </c>
    </row>
    <row r="340" spans="1:19" ht="15.75" thickBot="1" x14ac:dyDescent="0.25">
      <c r="A340" s="561"/>
      <c r="B340" s="178"/>
      <c r="C340" s="140"/>
      <c r="D340" s="94">
        <f>SUM(D339)</f>
        <v>6.4</v>
      </c>
      <c r="E340" s="153"/>
      <c r="F340" s="24"/>
      <c r="G340" s="63"/>
      <c r="H340" s="24"/>
      <c r="I340" s="81"/>
      <c r="J340" s="81"/>
      <c r="K340" s="82"/>
      <c r="L340" s="152"/>
      <c r="M340" s="153"/>
      <c r="N340" s="153"/>
      <c r="O340" s="140"/>
      <c r="P340" s="140"/>
      <c r="Q340" s="80"/>
      <c r="R340" s="153"/>
      <c r="S340" s="153"/>
    </row>
    <row r="341" spans="1:19" ht="30.75" thickBot="1" x14ac:dyDescent="0.25">
      <c r="A341" s="562"/>
      <c r="B341" s="36" t="s">
        <v>678</v>
      </c>
      <c r="C341" s="140" t="s">
        <v>678</v>
      </c>
      <c r="D341" s="91">
        <v>14</v>
      </c>
      <c r="E341" s="12" t="s">
        <v>1810</v>
      </c>
      <c r="F341" s="135" t="s">
        <v>136</v>
      </c>
      <c r="G341" s="79" t="s">
        <v>273</v>
      </c>
      <c r="H341" s="26" t="s">
        <v>921</v>
      </c>
      <c r="I341" s="190">
        <v>40437</v>
      </c>
      <c r="J341" s="190">
        <v>40472</v>
      </c>
      <c r="K341" s="222">
        <v>40532</v>
      </c>
      <c r="L341" s="156">
        <v>8516</v>
      </c>
      <c r="M341" s="156">
        <v>8424</v>
      </c>
      <c r="N341" s="152">
        <v>100</v>
      </c>
      <c r="O341" s="116" t="s">
        <v>2232</v>
      </c>
      <c r="P341" s="157"/>
      <c r="Q341" s="67" t="s">
        <v>1947</v>
      </c>
      <c r="R341" s="159" t="s">
        <v>271</v>
      </c>
      <c r="S341" s="151">
        <v>1</v>
      </c>
    </row>
    <row r="342" spans="1:19" ht="15.75" thickBot="1" x14ac:dyDescent="0.25">
      <c r="A342" s="561"/>
      <c r="B342" s="174"/>
      <c r="C342" s="139"/>
      <c r="D342" s="94">
        <f>SUM(D341)</f>
        <v>14</v>
      </c>
      <c r="E342" s="149"/>
      <c r="F342" s="36"/>
      <c r="G342" s="75"/>
      <c r="H342" s="39"/>
      <c r="I342" s="76"/>
      <c r="J342" s="76"/>
      <c r="K342" s="77"/>
      <c r="L342" s="151"/>
      <c r="M342" s="149"/>
      <c r="N342" s="149"/>
      <c r="O342" s="139"/>
      <c r="P342" s="139"/>
      <c r="Q342" s="67"/>
      <c r="R342" s="149"/>
      <c r="S342" s="149"/>
    </row>
    <row r="343" spans="1:19" ht="30.75" thickBot="1" x14ac:dyDescent="0.25">
      <c r="A343" s="562"/>
      <c r="B343" s="36" t="s">
        <v>1404</v>
      </c>
      <c r="C343" s="140" t="s">
        <v>1404</v>
      </c>
      <c r="D343" s="91">
        <v>10.199999999999999</v>
      </c>
      <c r="E343" s="12" t="s">
        <v>1810</v>
      </c>
      <c r="F343" s="135" t="s">
        <v>136</v>
      </c>
      <c r="G343" s="79" t="s">
        <v>2072</v>
      </c>
      <c r="H343" s="26" t="s">
        <v>1406</v>
      </c>
      <c r="I343" s="190">
        <v>40459</v>
      </c>
      <c r="J343" s="190">
        <v>40511</v>
      </c>
      <c r="K343" s="190">
        <v>40572</v>
      </c>
      <c r="L343" s="156">
        <v>6057.6</v>
      </c>
      <c r="M343" s="156">
        <v>4902</v>
      </c>
      <c r="N343" s="152">
        <v>100</v>
      </c>
      <c r="O343" s="116" t="s">
        <v>1550</v>
      </c>
      <c r="P343" s="157"/>
      <c r="Q343" s="67" t="s">
        <v>1405</v>
      </c>
      <c r="R343" s="159" t="s">
        <v>271</v>
      </c>
      <c r="S343" s="151"/>
    </row>
    <row r="344" spans="1:19" ht="15.75" thickBot="1" x14ac:dyDescent="0.25">
      <c r="A344" s="561"/>
      <c r="B344" s="174"/>
      <c r="C344" s="139"/>
      <c r="D344" s="94">
        <f>SUM(D343)</f>
        <v>10.199999999999999</v>
      </c>
      <c r="E344" s="149"/>
      <c r="F344" s="36"/>
      <c r="G344" s="75"/>
      <c r="H344" s="39"/>
      <c r="I344" s="76"/>
      <c r="J344" s="76"/>
      <c r="K344" s="77"/>
      <c r="L344" s="151"/>
      <c r="M344" s="149"/>
      <c r="N344" s="149"/>
      <c r="O344" s="139"/>
      <c r="P344" s="139"/>
      <c r="Q344" s="67"/>
      <c r="R344" s="149"/>
      <c r="S344" s="149"/>
    </row>
    <row r="345" spans="1:19" ht="30.75" thickBot="1" x14ac:dyDescent="0.25">
      <c r="A345" s="562"/>
      <c r="B345" s="36" t="s">
        <v>922</v>
      </c>
      <c r="C345" s="140" t="s">
        <v>922</v>
      </c>
      <c r="D345" s="91">
        <v>5.8</v>
      </c>
      <c r="E345" s="12" t="s">
        <v>1810</v>
      </c>
      <c r="F345" s="135" t="s">
        <v>136</v>
      </c>
      <c r="G345" s="79" t="s">
        <v>1438</v>
      </c>
      <c r="H345" s="26" t="s">
        <v>2160</v>
      </c>
      <c r="I345" s="72"/>
      <c r="J345" s="72"/>
      <c r="K345" s="85"/>
      <c r="L345" s="156">
        <v>4584</v>
      </c>
      <c r="M345" s="156"/>
      <c r="N345" s="152">
        <v>100</v>
      </c>
      <c r="O345" s="116" t="s">
        <v>940</v>
      </c>
      <c r="P345" s="157"/>
      <c r="Q345" s="67"/>
      <c r="R345" s="159" t="s">
        <v>271</v>
      </c>
      <c r="S345" s="151"/>
    </row>
    <row r="346" spans="1:19" ht="15.75" thickBot="1" x14ac:dyDescent="0.25">
      <c r="A346" s="561"/>
      <c r="B346" s="174"/>
      <c r="C346" s="139"/>
      <c r="D346" s="94">
        <f>SUM(D345)</f>
        <v>5.8</v>
      </c>
      <c r="E346" s="149"/>
      <c r="F346" s="36"/>
      <c r="G346" s="75"/>
      <c r="H346" s="39"/>
      <c r="I346" s="76"/>
      <c r="J346" s="76"/>
      <c r="K346" s="77"/>
      <c r="L346" s="151"/>
      <c r="M346" s="149"/>
      <c r="N346" s="149"/>
      <c r="O346" s="139"/>
      <c r="P346" s="139"/>
      <c r="Q346" s="67"/>
      <c r="R346" s="149"/>
      <c r="S346" s="149"/>
    </row>
    <row r="347" spans="1:19" ht="30.75" thickBot="1" x14ac:dyDescent="0.25">
      <c r="A347" s="562"/>
      <c r="B347" s="131" t="s">
        <v>923</v>
      </c>
      <c r="C347" s="140" t="s">
        <v>923</v>
      </c>
      <c r="D347" s="91">
        <v>12</v>
      </c>
      <c r="E347" s="136" t="s">
        <v>655</v>
      </c>
      <c r="F347" s="135" t="s">
        <v>136</v>
      </c>
      <c r="G347" s="63" t="s">
        <v>1439</v>
      </c>
      <c r="H347" s="183" t="s">
        <v>1902</v>
      </c>
      <c r="I347" s="190">
        <v>40435</v>
      </c>
      <c r="J347" s="190">
        <v>40508</v>
      </c>
      <c r="K347" s="222">
        <v>40568</v>
      </c>
      <c r="L347" s="165">
        <v>7444</v>
      </c>
      <c r="M347" s="165">
        <v>7100.65</v>
      </c>
      <c r="N347" s="16">
        <v>100</v>
      </c>
      <c r="O347" s="181" t="s">
        <v>1967</v>
      </c>
      <c r="P347" s="181"/>
      <c r="Q347" s="67" t="s">
        <v>881</v>
      </c>
      <c r="R347" s="159" t="s">
        <v>271</v>
      </c>
      <c r="S347" s="16">
        <v>1</v>
      </c>
    </row>
    <row r="348" spans="1:19" ht="15.75" thickBot="1" x14ac:dyDescent="0.25">
      <c r="A348" s="561"/>
      <c r="B348" s="178"/>
      <c r="C348" s="140"/>
      <c r="D348" s="94">
        <f>SUM(D347)</f>
        <v>12</v>
      </c>
      <c r="E348" s="153"/>
      <c r="F348" s="24"/>
      <c r="G348" s="63"/>
      <c r="H348" s="24"/>
      <c r="I348" s="81"/>
      <c r="J348" s="81"/>
      <c r="K348" s="82"/>
      <c r="L348" s="152"/>
      <c r="M348" s="153"/>
      <c r="N348" s="153"/>
      <c r="O348" s="140"/>
      <c r="P348" s="140"/>
      <c r="Q348" s="80"/>
      <c r="R348" s="153"/>
      <c r="S348" s="153"/>
    </row>
    <row r="349" spans="1:19" x14ac:dyDescent="0.2">
      <c r="A349" s="560"/>
      <c r="B349" s="558" t="s">
        <v>1196</v>
      </c>
      <c r="C349" s="188" t="s">
        <v>1196</v>
      </c>
      <c r="D349" s="90">
        <v>2</v>
      </c>
      <c r="E349" s="543" t="s">
        <v>1676</v>
      </c>
      <c r="F349" s="558" t="s">
        <v>136</v>
      </c>
      <c r="G349" s="63" t="s">
        <v>1440</v>
      </c>
      <c r="H349" s="558" t="s">
        <v>2063</v>
      </c>
      <c r="I349" s="569">
        <v>40556</v>
      </c>
      <c r="J349" s="569">
        <v>40619</v>
      </c>
      <c r="K349" s="569">
        <v>40680</v>
      </c>
      <c r="L349" s="567">
        <v>4018</v>
      </c>
      <c r="M349" s="567">
        <v>3422.6</v>
      </c>
      <c r="N349" s="546">
        <v>100</v>
      </c>
      <c r="O349" s="580" t="s">
        <v>1931</v>
      </c>
      <c r="P349" s="580"/>
      <c r="Q349" s="563"/>
      <c r="R349" s="546" t="s">
        <v>271</v>
      </c>
      <c r="S349" s="546"/>
    </row>
    <row r="350" spans="1:19" ht="13.5" customHeight="1" thickBot="1" x14ac:dyDescent="0.25">
      <c r="A350" s="562"/>
      <c r="B350" s="559"/>
      <c r="C350" s="188" t="s">
        <v>1197</v>
      </c>
      <c r="D350" s="91">
        <v>4.4000000000000004</v>
      </c>
      <c r="E350" s="545"/>
      <c r="F350" s="559"/>
      <c r="G350" s="63" t="s">
        <v>1441</v>
      </c>
      <c r="H350" s="559"/>
      <c r="I350" s="570"/>
      <c r="J350" s="570"/>
      <c r="K350" s="570"/>
      <c r="L350" s="568"/>
      <c r="M350" s="568"/>
      <c r="N350" s="548"/>
      <c r="O350" s="605"/>
      <c r="P350" s="605"/>
      <c r="Q350" s="564"/>
      <c r="R350" s="548"/>
      <c r="S350" s="548"/>
    </row>
    <row r="351" spans="1:19" ht="15.75" thickBot="1" x14ac:dyDescent="0.25">
      <c r="A351" s="561"/>
      <c r="B351" s="182"/>
      <c r="C351" s="143"/>
      <c r="D351" s="101">
        <f>SUM(D349:D350)</f>
        <v>6.4</v>
      </c>
      <c r="E351" s="155"/>
      <c r="F351" s="129"/>
      <c r="G351" s="102"/>
      <c r="H351" s="129"/>
      <c r="I351" s="92"/>
      <c r="J351" s="92"/>
      <c r="K351" s="93"/>
      <c r="L351" s="150"/>
      <c r="M351" s="155"/>
      <c r="N351" s="155"/>
      <c r="O351" s="143"/>
      <c r="P351" s="143"/>
      <c r="Q351" s="66"/>
      <c r="R351" s="155"/>
      <c r="S351" s="155"/>
    </row>
    <row r="352" spans="1:19" ht="15.75" thickBot="1" x14ac:dyDescent="0.25">
      <c r="A352" s="560"/>
      <c r="B352" s="23" t="s">
        <v>944</v>
      </c>
      <c r="C352" s="188" t="s">
        <v>944</v>
      </c>
      <c r="D352" s="90">
        <v>10</v>
      </c>
      <c r="E352" s="150" t="s">
        <v>1676</v>
      </c>
      <c r="F352" s="23" t="s">
        <v>136</v>
      </c>
      <c r="G352" s="63" t="s">
        <v>1442</v>
      </c>
      <c r="H352" s="23" t="s">
        <v>1001</v>
      </c>
      <c r="I352" s="186"/>
      <c r="J352" s="186"/>
      <c r="K352" s="217"/>
      <c r="L352" s="185">
        <v>9500</v>
      </c>
      <c r="M352" s="185">
        <v>6895.25</v>
      </c>
      <c r="N352" s="48">
        <v>100</v>
      </c>
      <c r="O352" s="121"/>
      <c r="P352" s="126"/>
      <c r="Q352" s="184"/>
      <c r="R352" s="48" t="s">
        <v>271</v>
      </c>
      <c r="S352" s="48"/>
    </row>
    <row r="353" spans="1:19" ht="15.75" thickBot="1" x14ac:dyDescent="0.25">
      <c r="A353" s="561"/>
      <c r="B353" s="182"/>
      <c r="C353" s="143"/>
      <c r="D353" s="101">
        <f>SUM(D352)</f>
        <v>10</v>
      </c>
      <c r="E353" s="155"/>
      <c r="F353" s="129"/>
      <c r="G353" s="102"/>
      <c r="H353" s="129"/>
      <c r="I353" s="92"/>
      <c r="J353" s="92"/>
      <c r="K353" s="93"/>
      <c r="L353" s="150"/>
      <c r="M353" s="155"/>
      <c r="N353" s="155"/>
      <c r="O353" s="143"/>
      <c r="P353" s="143"/>
      <c r="Q353" s="66"/>
      <c r="R353" s="155"/>
      <c r="S353" s="155"/>
    </row>
    <row r="354" spans="1:19" ht="30.75" thickBot="1" x14ac:dyDescent="0.25">
      <c r="A354" s="560"/>
      <c r="B354" s="23" t="s">
        <v>2190</v>
      </c>
      <c r="C354" s="188" t="s">
        <v>2190</v>
      </c>
      <c r="D354" s="90">
        <v>12</v>
      </c>
      <c r="E354" s="150" t="s">
        <v>1676</v>
      </c>
      <c r="F354" s="23" t="s">
        <v>136</v>
      </c>
      <c r="G354" s="63" t="s">
        <v>2136</v>
      </c>
      <c r="H354" s="23" t="s">
        <v>1502</v>
      </c>
      <c r="I354" s="186">
        <v>40556</v>
      </c>
      <c r="J354" s="186">
        <v>40577</v>
      </c>
      <c r="K354" s="186">
        <v>40636</v>
      </c>
      <c r="L354" s="185">
        <v>7490</v>
      </c>
      <c r="M354" s="185">
        <v>6708.3</v>
      </c>
      <c r="N354" s="48">
        <v>100</v>
      </c>
      <c r="O354" s="121" t="s">
        <v>634</v>
      </c>
      <c r="P354" s="126"/>
      <c r="Q354" s="184"/>
      <c r="R354" s="48" t="s">
        <v>271</v>
      </c>
      <c r="S354" s="48"/>
    </row>
    <row r="355" spans="1:19" ht="15.75" thickBot="1" x14ac:dyDescent="0.25">
      <c r="A355" s="561"/>
      <c r="B355" s="182"/>
      <c r="C355" s="143"/>
      <c r="D355" s="101">
        <f>SUM(D354)</f>
        <v>12</v>
      </c>
      <c r="E355" s="155"/>
      <c r="F355" s="129"/>
      <c r="G355" s="102"/>
      <c r="H355" s="129"/>
      <c r="I355" s="92"/>
      <c r="J355" s="92"/>
      <c r="K355" s="93"/>
      <c r="L355" s="150"/>
      <c r="M355" s="155"/>
      <c r="N355" s="155"/>
      <c r="O355" s="143"/>
      <c r="P355" s="143"/>
      <c r="Q355" s="66"/>
      <c r="R355" s="155"/>
      <c r="S355" s="155"/>
    </row>
    <row r="356" spans="1:19" ht="15" customHeight="1" thickBot="1" x14ac:dyDescent="0.25">
      <c r="A356" s="560"/>
      <c r="B356" s="23" t="s">
        <v>1991</v>
      </c>
      <c r="C356" s="188" t="s">
        <v>1991</v>
      </c>
      <c r="D356" s="90">
        <v>6.7</v>
      </c>
      <c r="E356" s="150" t="s">
        <v>1676</v>
      </c>
      <c r="F356" s="23" t="s">
        <v>136</v>
      </c>
      <c r="G356" s="63" t="s">
        <v>1443</v>
      </c>
      <c r="H356" s="23" t="s">
        <v>1503</v>
      </c>
      <c r="I356" s="186"/>
      <c r="J356" s="186"/>
      <c r="K356" s="217"/>
      <c r="L356" s="185">
        <v>4204</v>
      </c>
      <c r="M356" s="185"/>
      <c r="N356" s="48"/>
      <c r="O356" s="121"/>
      <c r="P356" s="126"/>
      <c r="Q356" s="184"/>
      <c r="R356" s="48" t="s">
        <v>271</v>
      </c>
      <c r="S356" s="48"/>
    </row>
    <row r="357" spans="1:19" ht="15.75" thickBot="1" x14ac:dyDescent="0.25">
      <c r="A357" s="561"/>
      <c r="B357" s="182"/>
      <c r="C357" s="140"/>
      <c r="D357" s="101">
        <f>SUM(D356)</f>
        <v>6.7</v>
      </c>
      <c r="E357" s="155"/>
      <c r="F357" s="129"/>
      <c r="G357" s="102"/>
      <c r="H357" s="129"/>
      <c r="I357" s="92"/>
      <c r="J357" s="92"/>
      <c r="K357" s="93"/>
      <c r="L357" s="150"/>
      <c r="M357" s="155"/>
      <c r="N357" s="155"/>
      <c r="O357" s="143"/>
      <c r="P357" s="143"/>
      <c r="Q357" s="66"/>
      <c r="R357" s="155"/>
      <c r="S357" s="155"/>
    </row>
    <row r="358" spans="1:19" ht="15" customHeight="1" thickBot="1" x14ac:dyDescent="0.25">
      <c r="A358" s="560"/>
      <c r="B358" s="23" t="s">
        <v>269</v>
      </c>
      <c r="C358" s="188" t="s">
        <v>269</v>
      </c>
      <c r="D358" s="90">
        <v>8.6</v>
      </c>
      <c r="E358" s="150" t="s">
        <v>1676</v>
      </c>
      <c r="F358" s="23" t="s">
        <v>136</v>
      </c>
      <c r="G358" s="63" t="s">
        <v>955</v>
      </c>
      <c r="H358" s="23" t="s">
        <v>905</v>
      </c>
      <c r="I358" s="186"/>
      <c r="J358" s="186"/>
      <c r="K358" s="217"/>
      <c r="L358" s="185">
        <v>5382</v>
      </c>
      <c r="M358" s="185"/>
      <c r="N358" s="48"/>
      <c r="O358" s="121"/>
      <c r="P358" s="126"/>
      <c r="Q358" s="184"/>
      <c r="R358" s="48" t="s">
        <v>271</v>
      </c>
      <c r="S358" s="48"/>
    </row>
    <row r="359" spans="1:19" ht="15.75" thickBot="1" x14ac:dyDescent="0.25">
      <c r="A359" s="561"/>
      <c r="B359" s="182"/>
      <c r="C359" s="140"/>
      <c r="D359" s="101">
        <f>SUM(D358)</f>
        <v>8.6</v>
      </c>
      <c r="E359" s="155"/>
      <c r="F359" s="129"/>
      <c r="G359" s="102"/>
      <c r="H359" s="129"/>
      <c r="I359" s="92"/>
      <c r="J359" s="92"/>
      <c r="K359" s="93"/>
      <c r="L359" s="150"/>
      <c r="M359" s="155"/>
      <c r="N359" s="155"/>
      <c r="O359" s="143"/>
      <c r="P359" s="143"/>
      <c r="Q359" s="66"/>
      <c r="R359" s="155"/>
      <c r="S359" s="155"/>
    </row>
    <row r="360" spans="1:19" s="349" customFormat="1" ht="30.75" thickBot="1" x14ac:dyDescent="0.25">
      <c r="A360" s="560"/>
      <c r="B360" s="324" t="s">
        <v>906</v>
      </c>
      <c r="C360" s="353" t="s">
        <v>906</v>
      </c>
      <c r="D360" s="354">
        <v>7</v>
      </c>
      <c r="E360" s="323" t="s">
        <v>1676</v>
      </c>
      <c r="F360" s="324" t="s">
        <v>136</v>
      </c>
      <c r="G360" s="309" t="s">
        <v>1444</v>
      </c>
      <c r="H360" s="324" t="s">
        <v>907</v>
      </c>
      <c r="I360" s="355">
        <v>40556</v>
      </c>
      <c r="J360" s="355">
        <v>40645</v>
      </c>
      <c r="K360" s="355">
        <v>40706</v>
      </c>
      <c r="L360" s="356">
        <v>4390</v>
      </c>
      <c r="M360" s="356">
        <v>3167.2</v>
      </c>
      <c r="N360" s="357">
        <v>100</v>
      </c>
      <c r="O360" s="358" t="s">
        <v>1198</v>
      </c>
      <c r="P360" s="326"/>
      <c r="Q360" s="325"/>
      <c r="R360" s="357" t="s">
        <v>271</v>
      </c>
      <c r="S360" s="357"/>
    </row>
    <row r="361" spans="1:19" ht="15.75" thickBot="1" x14ac:dyDescent="0.25">
      <c r="A361" s="561"/>
      <c r="B361" s="182"/>
      <c r="C361" s="140"/>
      <c r="D361" s="101">
        <f>SUM(D360)</f>
        <v>7</v>
      </c>
      <c r="E361" s="155"/>
      <c r="F361" s="129"/>
      <c r="G361" s="102"/>
      <c r="H361" s="129"/>
      <c r="I361" s="92"/>
      <c r="J361" s="92"/>
      <c r="K361" s="93"/>
      <c r="L361" s="150"/>
      <c r="M361" s="155"/>
      <c r="N361" s="155"/>
      <c r="O361" s="143"/>
      <c r="P361" s="143"/>
      <c r="Q361" s="66"/>
      <c r="R361" s="155"/>
      <c r="S361" s="155"/>
    </row>
    <row r="362" spans="1:19" ht="15.75" thickBot="1" x14ac:dyDescent="0.25">
      <c r="A362" s="560"/>
      <c r="B362" s="23" t="s">
        <v>908</v>
      </c>
      <c r="C362" s="188" t="s">
        <v>908</v>
      </c>
      <c r="D362" s="90">
        <v>8.1999999999999993</v>
      </c>
      <c r="E362" s="150" t="s">
        <v>1676</v>
      </c>
      <c r="F362" s="23" t="s">
        <v>136</v>
      </c>
      <c r="G362" s="63" t="s">
        <v>1738</v>
      </c>
      <c r="H362" s="23" t="s">
        <v>2160</v>
      </c>
      <c r="I362" s="186"/>
      <c r="J362" s="186"/>
      <c r="K362" s="217"/>
      <c r="L362" s="185">
        <v>5098</v>
      </c>
      <c r="M362" s="185">
        <v>7572.69</v>
      </c>
      <c r="N362" s="48"/>
      <c r="O362" s="121"/>
      <c r="P362" s="126"/>
      <c r="Q362" s="184"/>
      <c r="R362" s="48" t="s">
        <v>271</v>
      </c>
      <c r="S362" s="48"/>
    </row>
    <row r="363" spans="1:19" ht="15.75" thickBot="1" x14ac:dyDescent="0.25">
      <c r="A363" s="561"/>
      <c r="B363" s="182"/>
      <c r="C363" s="140"/>
      <c r="D363" s="101">
        <f>SUM(D362)</f>
        <v>8.1999999999999993</v>
      </c>
      <c r="E363" s="155"/>
      <c r="F363" s="129"/>
      <c r="G363" s="102"/>
      <c r="H363" s="129"/>
      <c r="I363" s="92"/>
      <c r="J363" s="92"/>
      <c r="K363" s="93"/>
      <c r="L363" s="150"/>
      <c r="M363" s="155"/>
      <c r="N363" s="155"/>
      <c r="O363" s="143"/>
      <c r="P363" s="143"/>
      <c r="Q363" s="66"/>
      <c r="R363" s="155"/>
      <c r="S363" s="155"/>
    </row>
    <row r="364" spans="1:19" ht="30" customHeight="1" x14ac:dyDescent="0.2">
      <c r="A364" s="560"/>
      <c r="B364" s="558" t="s">
        <v>909</v>
      </c>
      <c r="C364" s="229" t="s">
        <v>909</v>
      </c>
      <c r="D364" s="90">
        <v>2.1</v>
      </c>
      <c r="E364" s="543" t="s">
        <v>1676</v>
      </c>
      <c r="F364" s="558" t="s">
        <v>136</v>
      </c>
      <c r="G364" s="79" t="s">
        <v>1445</v>
      </c>
      <c r="H364" s="558" t="s">
        <v>1415</v>
      </c>
      <c r="I364" s="569">
        <v>40556</v>
      </c>
      <c r="J364" s="569">
        <v>40578</v>
      </c>
      <c r="K364" s="569">
        <v>40637</v>
      </c>
      <c r="L364" s="567">
        <v>4884.8</v>
      </c>
      <c r="M364" s="546">
        <v>4117.3</v>
      </c>
      <c r="N364" s="546">
        <v>100</v>
      </c>
      <c r="O364" s="546" t="s">
        <v>1931</v>
      </c>
      <c r="P364" s="546"/>
      <c r="Q364" s="563"/>
      <c r="R364" s="546" t="s">
        <v>271</v>
      </c>
      <c r="S364" s="546"/>
    </row>
    <row r="365" spans="1:19" ht="15.75" customHeight="1" x14ac:dyDescent="0.2">
      <c r="A365" s="562"/>
      <c r="B365" s="613"/>
      <c r="C365" s="227" t="s">
        <v>1600</v>
      </c>
      <c r="D365" s="78">
        <v>2.8</v>
      </c>
      <c r="E365" s="544"/>
      <c r="F365" s="613"/>
      <c r="G365" s="63" t="s">
        <v>955</v>
      </c>
      <c r="H365" s="613"/>
      <c r="I365" s="710"/>
      <c r="J365" s="710"/>
      <c r="K365" s="710"/>
      <c r="L365" s="709"/>
      <c r="M365" s="547"/>
      <c r="N365" s="547"/>
      <c r="O365" s="547"/>
      <c r="P365" s="547"/>
      <c r="Q365" s="659"/>
      <c r="R365" s="547"/>
      <c r="S365" s="547"/>
    </row>
    <row r="366" spans="1:19" ht="15.75" thickBot="1" x14ac:dyDescent="0.25">
      <c r="A366" s="562"/>
      <c r="B366" s="559"/>
      <c r="C366" s="188" t="s">
        <v>910</v>
      </c>
      <c r="D366" s="206">
        <v>4</v>
      </c>
      <c r="E366" s="545"/>
      <c r="F366" s="559"/>
      <c r="G366" s="224" t="s">
        <v>1446</v>
      </c>
      <c r="H366" s="559"/>
      <c r="I366" s="570"/>
      <c r="J366" s="570"/>
      <c r="K366" s="570"/>
      <c r="L366" s="568"/>
      <c r="M366" s="548"/>
      <c r="N366" s="548"/>
      <c r="O366" s="548"/>
      <c r="P366" s="548"/>
      <c r="Q366" s="564"/>
      <c r="R366" s="548"/>
      <c r="S366" s="548"/>
    </row>
    <row r="367" spans="1:19" ht="15.75" thickBot="1" x14ac:dyDescent="0.25">
      <c r="A367" s="561"/>
      <c r="B367" s="182"/>
      <c r="C367" s="140"/>
      <c r="D367" s="101">
        <f>SUM(D364:D366)</f>
        <v>8.9</v>
      </c>
      <c r="E367" s="155"/>
      <c r="F367" s="129"/>
      <c r="G367" s="102"/>
      <c r="H367" s="129"/>
      <c r="I367" s="92"/>
      <c r="J367" s="92"/>
      <c r="K367" s="93"/>
      <c r="L367" s="150"/>
      <c r="M367" s="155"/>
      <c r="N367" s="155"/>
      <c r="O367" s="143"/>
      <c r="P367" s="143"/>
      <c r="Q367" s="66"/>
      <c r="R367" s="155"/>
      <c r="S367" s="155"/>
    </row>
    <row r="368" spans="1:19" ht="30" customHeight="1" thickBot="1" x14ac:dyDescent="0.25">
      <c r="A368" s="560"/>
      <c r="B368" s="23" t="s">
        <v>1416</v>
      </c>
      <c r="C368" s="188" t="s">
        <v>1416</v>
      </c>
      <c r="D368" s="90">
        <v>5.6</v>
      </c>
      <c r="E368" s="150" t="s">
        <v>1676</v>
      </c>
      <c r="F368" s="23" t="s">
        <v>136</v>
      </c>
      <c r="G368" s="204"/>
      <c r="H368" s="23" t="s">
        <v>1417</v>
      </c>
      <c r="I368" s="186"/>
      <c r="J368" s="186"/>
      <c r="K368" s="217"/>
      <c r="L368" s="185">
        <v>3572</v>
      </c>
      <c r="M368" s="185"/>
      <c r="N368" s="48"/>
      <c r="O368" s="121"/>
      <c r="P368" s="126"/>
      <c r="Q368" s="184"/>
      <c r="R368" s="48" t="s">
        <v>271</v>
      </c>
      <c r="S368" s="48"/>
    </row>
    <row r="369" spans="1:19" ht="15.75" thickBot="1" x14ac:dyDescent="0.25">
      <c r="A369" s="561"/>
      <c r="B369" s="182"/>
      <c r="C369" s="140"/>
      <c r="D369" s="101">
        <f>SUM(D368:D368)</f>
        <v>5.6</v>
      </c>
      <c r="E369" s="155"/>
      <c r="F369" s="129"/>
      <c r="G369" s="102"/>
      <c r="H369" s="129"/>
      <c r="I369" s="92"/>
      <c r="J369" s="92"/>
      <c r="K369" s="93"/>
      <c r="L369" s="150"/>
      <c r="M369" s="155"/>
      <c r="N369" s="155"/>
      <c r="O369" s="143"/>
      <c r="P369" s="143"/>
      <c r="Q369" s="66"/>
      <c r="R369" s="155"/>
      <c r="S369" s="155"/>
    </row>
    <row r="370" spans="1:19" ht="30" customHeight="1" thickBot="1" x14ac:dyDescent="0.25">
      <c r="A370" s="560"/>
      <c r="B370" s="23" t="s">
        <v>1418</v>
      </c>
      <c r="C370" s="188" t="s">
        <v>1418</v>
      </c>
      <c r="D370" s="90">
        <v>15</v>
      </c>
      <c r="E370" s="150" t="s">
        <v>1676</v>
      </c>
      <c r="F370" s="23" t="s">
        <v>136</v>
      </c>
      <c r="G370" s="204" t="s">
        <v>1442</v>
      </c>
      <c r="H370" s="23" t="s">
        <v>1903</v>
      </c>
      <c r="I370" s="186"/>
      <c r="J370" s="186"/>
      <c r="K370" s="217"/>
      <c r="L370" s="185">
        <v>9420</v>
      </c>
      <c r="M370" s="185">
        <v>8245</v>
      </c>
      <c r="N370" s="48">
        <v>100</v>
      </c>
      <c r="O370" s="121" t="s">
        <v>1006</v>
      </c>
      <c r="P370" s="126"/>
      <c r="Q370" s="184"/>
      <c r="R370" s="48" t="s">
        <v>271</v>
      </c>
      <c r="S370" s="48"/>
    </row>
    <row r="371" spans="1:19" ht="15.75" thickBot="1" x14ac:dyDescent="0.25">
      <c r="A371" s="561"/>
      <c r="B371" s="182"/>
      <c r="C371" s="140"/>
      <c r="D371" s="101">
        <f>SUM(D370:D370)</f>
        <v>15</v>
      </c>
      <c r="E371" s="155"/>
      <c r="F371" s="129"/>
      <c r="G371" s="102"/>
      <c r="H371" s="129"/>
      <c r="I371" s="92"/>
      <c r="J371" s="92"/>
      <c r="K371" s="93"/>
      <c r="L371" s="150"/>
      <c r="M371" s="155"/>
      <c r="N371" s="155"/>
      <c r="O371" s="143"/>
      <c r="P371" s="143"/>
      <c r="Q371" s="66"/>
      <c r="R371" s="155"/>
      <c r="S371" s="155"/>
    </row>
    <row r="372" spans="1:19" x14ac:dyDescent="0.2">
      <c r="A372" s="560"/>
      <c r="B372" s="558" t="s">
        <v>1994</v>
      </c>
      <c r="C372" s="189" t="s">
        <v>1994</v>
      </c>
      <c r="D372" s="90">
        <v>8</v>
      </c>
      <c r="E372" s="543" t="s">
        <v>1949</v>
      </c>
      <c r="F372" s="558" t="s">
        <v>136</v>
      </c>
      <c r="G372" s="63" t="s">
        <v>1447</v>
      </c>
      <c r="H372" s="558" t="s">
        <v>1711</v>
      </c>
      <c r="I372" s="569">
        <v>40444</v>
      </c>
      <c r="J372" s="569">
        <v>40458</v>
      </c>
      <c r="K372" s="707">
        <v>40519</v>
      </c>
      <c r="L372" s="567">
        <v>8337.6</v>
      </c>
      <c r="M372" s="567">
        <v>7837.85</v>
      </c>
      <c r="N372" s="546">
        <v>100</v>
      </c>
      <c r="O372" s="580" t="s">
        <v>978</v>
      </c>
      <c r="P372" s="580"/>
      <c r="Q372" s="563" t="s">
        <v>977</v>
      </c>
      <c r="R372" s="546" t="s">
        <v>271</v>
      </c>
      <c r="S372" s="546">
        <v>1</v>
      </c>
    </row>
    <row r="373" spans="1:19" ht="13.5" customHeight="1" thickBot="1" x14ac:dyDescent="0.25">
      <c r="A373" s="562"/>
      <c r="B373" s="559"/>
      <c r="C373" s="188" t="s">
        <v>918</v>
      </c>
      <c r="D373" s="91">
        <v>2.7</v>
      </c>
      <c r="E373" s="545"/>
      <c r="F373" s="559"/>
      <c r="G373" s="63"/>
      <c r="H373" s="559"/>
      <c r="I373" s="570"/>
      <c r="J373" s="570"/>
      <c r="K373" s="708"/>
      <c r="L373" s="568"/>
      <c r="M373" s="568"/>
      <c r="N373" s="548"/>
      <c r="O373" s="605"/>
      <c r="P373" s="605"/>
      <c r="Q373" s="564"/>
      <c r="R373" s="548"/>
      <c r="S373" s="548"/>
    </row>
    <row r="374" spans="1:19" ht="15.75" thickBot="1" x14ac:dyDescent="0.25">
      <c r="A374" s="561"/>
      <c r="B374" s="182"/>
      <c r="C374" s="143"/>
      <c r="D374" s="101">
        <f>SUM(D372:D373)</f>
        <v>10.7</v>
      </c>
      <c r="E374" s="155"/>
      <c r="F374" s="129"/>
      <c r="G374" s="102"/>
      <c r="H374" s="129"/>
      <c r="I374" s="92"/>
      <c r="J374" s="92"/>
      <c r="K374" s="93"/>
      <c r="L374" s="150"/>
      <c r="M374" s="155"/>
      <c r="N374" s="155"/>
      <c r="O374" s="143"/>
      <c r="P374" s="143"/>
      <c r="Q374" s="66"/>
      <c r="R374" s="155"/>
      <c r="S374" s="155"/>
    </row>
    <row r="375" spans="1:19" x14ac:dyDescent="0.2">
      <c r="A375" s="560"/>
      <c r="B375" s="558" t="s">
        <v>1712</v>
      </c>
      <c r="C375" s="188" t="s">
        <v>1712</v>
      </c>
      <c r="D375" s="90">
        <v>3.5</v>
      </c>
      <c r="E375" s="543" t="s">
        <v>2113</v>
      </c>
      <c r="F375" s="558" t="s">
        <v>136</v>
      </c>
      <c r="G375" s="63" t="s">
        <v>1448</v>
      </c>
      <c r="H375" s="558" t="s">
        <v>988</v>
      </c>
      <c r="I375" s="569">
        <v>40435</v>
      </c>
      <c r="J375" s="569">
        <v>40556</v>
      </c>
      <c r="K375" s="569">
        <v>40615</v>
      </c>
      <c r="L375" s="567">
        <v>4962</v>
      </c>
      <c r="M375" s="567">
        <v>4805.26</v>
      </c>
      <c r="N375" s="546">
        <v>100</v>
      </c>
      <c r="O375" s="580" t="s">
        <v>1186</v>
      </c>
      <c r="P375" s="580"/>
      <c r="Q375" s="563"/>
      <c r="R375" s="546" t="s">
        <v>271</v>
      </c>
      <c r="S375" s="546"/>
    </row>
    <row r="376" spans="1:19" ht="13.5" customHeight="1" thickBot="1" x14ac:dyDescent="0.25">
      <c r="A376" s="562"/>
      <c r="B376" s="559"/>
      <c r="C376" s="188" t="s">
        <v>1713</v>
      </c>
      <c r="D376" s="91">
        <v>4.5</v>
      </c>
      <c r="E376" s="545"/>
      <c r="F376" s="559"/>
      <c r="G376" s="63" t="s">
        <v>36</v>
      </c>
      <c r="H376" s="559"/>
      <c r="I376" s="570"/>
      <c r="J376" s="570"/>
      <c r="K376" s="570"/>
      <c r="L376" s="568"/>
      <c r="M376" s="568"/>
      <c r="N376" s="548"/>
      <c r="O376" s="605"/>
      <c r="P376" s="605"/>
      <c r="Q376" s="564"/>
      <c r="R376" s="548"/>
      <c r="S376" s="548"/>
    </row>
    <row r="377" spans="1:19" ht="15.75" thickBot="1" x14ac:dyDescent="0.25">
      <c r="A377" s="561"/>
      <c r="B377" s="182"/>
      <c r="C377" s="143"/>
      <c r="D377" s="101">
        <f>SUM(D375:D376)</f>
        <v>8</v>
      </c>
      <c r="E377" s="155"/>
      <c r="F377" s="129"/>
      <c r="G377" s="102"/>
      <c r="H377" s="129"/>
      <c r="I377" s="92"/>
      <c r="J377" s="92"/>
      <c r="K377" s="93"/>
      <c r="L377" s="150"/>
      <c r="M377" s="155"/>
      <c r="N377" s="155"/>
      <c r="O377" s="143"/>
      <c r="P377" s="143"/>
      <c r="Q377" s="66"/>
      <c r="R377" s="155"/>
      <c r="S377" s="155"/>
    </row>
    <row r="378" spans="1:19" ht="15" customHeight="1" thickBot="1" x14ac:dyDescent="0.25">
      <c r="A378" s="560"/>
      <c r="B378" s="23" t="s">
        <v>989</v>
      </c>
      <c r="C378" s="188" t="s">
        <v>989</v>
      </c>
      <c r="D378" s="90">
        <v>15</v>
      </c>
      <c r="E378" s="150" t="s">
        <v>656</v>
      </c>
      <c r="F378" s="23" t="s">
        <v>136</v>
      </c>
      <c r="G378" s="63" t="s">
        <v>94</v>
      </c>
      <c r="H378" s="24" t="s">
        <v>1942</v>
      </c>
      <c r="I378" s="186"/>
      <c r="J378" s="186"/>
      <c r="K378" s="217"/>
      <c r="L378" s="185">
        <v>8628</v>
      </c>
      <c r="M378" s="185"/>
      <c r="N378" s="48"/>
      <c r="O378" s="121"/>
      <c r="P378" s="126"/>
      <c r="Q378" s="184"/>
      <c r="R378" s="48" t="s">
        <v>271</v>
      </c>
      <c r="S378" s="48"/>
    </row>
    <row r="379" spans="1:19" ht="15.75" thickBot="1" x14ac:dyDescent="0.25">
      <c r="A379" s="561"/>
      <c r="B379" s="182"/>
      <c r="C379" s="143"/>
      <c r="D379" s="101">
        <f>SUM(D378)</f>
        <v>15</v>
      </c>
      <c r="E379" s="155"/>
      <c r="F379" s="129"/>
      <c r="G379" s="102"/>
      <c r="H379" s="129"/>
      <c r="I379" s="92"/>
      <c r="J379" s="92"/>
      <c r="K379" s="93"/>
      <c r="L379" s="150"/>
      <c r="M379" s="155"/>
      <c r="N379" s="155"/>
      <c r="O379" s="143"/>
      <c r="P379" s="143"/>
      <c r="Q379" s="66"/>
      <c r="R379" s="155"/>
      <c r="S379" s="155"/>
    </row>
    <row r="380" spans="1:19" ht="15" customHeight="1" thickBot="1" x14ac:dyDescent="0.25">
      <c r="A380" s="560"/>
      <c r="B380" s="23" t="s">
        <v>707</v>
      </c>
      <c r="C380" s="188" t="s">
        <v>707</v>
      </c>
      <c r="D380" s="90">
        <v>5</v>
      </c>
      <c r="E380" s="150" t="s">
        <v>656</v>
      </c>
      <c r="F380" s="23" t="s">
        <v>136</v>
      </c>
      <c r="G380" s="63" t="s">
        <v>1956</v>
      </c>
      <c r="H380" s="23" t="s">
        <v>943</v>
      </c>
      <c r="I380" s="186"/>
      <c r="J380" s="186"/>
      <c r="K380" s="217"/>
      <c r="L380" s="185">
        <v>3080</v>
      </c>
      <c r="M380" s="185"/>
      <c r="N380" s="48"/>
      <c r="O380" s="121"/>
      <c r="P380" s="126"/>
      <c r="Q380" s="184"/>
      <c r="R380" s="48" t="s">
        <v>271</v>
      </c>
      <c r="S380" s="48"/>
    </row>
    <row r="381" spans="1:19" ht="15.75" thickBot="1" x14ac:dyDescent="0.25">
      <c r="A381" s="561"/>
      <c r="B381" s="182"/>
      <c r="C381" s="143"/>
      <c r="D381" s="101">
        <f>SUM(D380)</f>
        <v>5</v>
      </c>
      <c r="E381" s="155"/>
      <c r="F381" s="129"/>
      <c r="G381" s="102"/>
      <c r="H381" s="129"/>
      <c r="I381" s="92"/>
      <c r="J381" s="92"/>
      <c r="K381" s="93"/>
      <c r="L381" s="150"/>
      <c r="M381" s="155"/>
      <c r="N381" s="155"/>
      <c r="O381" s="143"/>
      <c r="P381" s="143"/>
      <c r="Q381" s="66"/>
      <c r="R381" s="155"/>
      <c r="S381" s="155"/>
    </row>
    <row r="382" spans="1:19" ht="30.75" thickBot="1" x14ac:dyDescent="0.25">
      <c r="A382" s="560"/>
      <c r="B382" s="23" t="s">
        <v>774</v>
      </c>
      <c r="C382" s="188" t="s">
        <v>774</v>
      </c>
      <c r="D382" s="90">
        <v>8.6999999999999993</v>
      </c>
      <c r="E382" s="48" t="s">
        <v>947</v>
      </c>
      <c r="F382" s="23" t="s">
        <v>136</v>
      </c>
      <c r="G382" s="63"/>
      <c r="H382" s="23" t="s">
        <v>568</v>
      </c>
      <c r="I382" s="186">
        <v>40368</v>
      </c>
      <c r="J382" s="186">
        <v>40483</v>
      </c>
      <c r="K382" s="217">
        <v>40574</v>
      </c>
      <c r="L382" s="185">
        <v>5334.8</v>
      </c>
      <c r="M382" s="185">
        <v>5252.1</v>
      </c>
      <c r="N382" s="48">
        <v>100</v>
      </c>
      <c r="O382" s="121" t="s">
        <v>949</v>
      </c>
      <c r="P382" s="126"/>
      <c r="Q382" s="184" t="s">
        <v>1862</v>
      </c>
      <c r="R382" s="48" t="s">
        <v>271</v>
      </c>
      <c r="S382" s="48">
        <v>1</v>
      </c>
    </row>
    <row r="383" spans="1:19" ht="15.75" thickBot="1" x14ac:dyDescent="0.25">
      <c r="A383" s="561"/>
      <c r="B383" s="182"/>
      <c r="C383" s="143"/>
      <c r="D383" s="101">
        <f>SUM(D382)</f>
        <v>8.6999999999999993</v>
      </c>
      <c r="E383" s="155"/>
      <c r="F383" s="129"/>
      <c r="G383" s="102"/>
      <c r="H383" s="129"/>
      <c r="I383" s="92"/>
      <c r="J383" s="92"/>
      <c r="K383" s="93"/>
      <c r="L383" s="150"/>
      <c r="M383" s="155"/>
      <c r="N383" s="155"/>
      <c r="O383" s="143"/>
      <c r="P383" s="143"/>
      <c r="Q383" s="66"/>
      <c r="R383" s="155"/>
      <c r="S383" s="155"/>
    </row>
    <row r="384" spans="1:19" ht="30.75" thickBot="1" x14ac:dyDescent="0.25">
      <c r="A384" s="560"/>
      <c r="B384" s="23" t="s">
        <v>237</v>
      </c>
      <c r="C384" s="23" t="s">
        <v>237</v>
      </c>
      <c r="D384" s="90">
        <v>8.6999999999999993</v>
      </c>
      <c r="E384" s="48" t="s">
        <v>947</v>
      </c>
      <c r="F384" s="23" t="s">
        <v>136</v>
      </c>
      <c r="G384" s="63"/>
      <c r="H384" s="23" t="s">
        <v>1182</v>
      </c>
      <c r="I384" s="186">
        <v>40423</v>
      </c>
      <c r="J384" s="186">
        <v>40448</v>
      </c>
      <c r="K384" s="217">
        <v>40509</v>
      </c>
      <c r="L384" s="185">
        <v>4150</v>
      </c>
      <c r="M384" s="185">
        <v>3988</v>
      </c>
      <c r="N384" s="48">
        <v>100</v>
      </c>
      <c r="O384" s="121" t="s">
        <v>239</v>
      </c>
      <c r="P384" s="126"/>
      <c r="Q384" s="184" t="s">
        <v>238</v>
      </c>
      <c r="R384" s="48" t="s">
        <v>271</v>
      </c>
      <c r="S384" s="48">
        <v>1</v>
      </c>
    </row>
    <row r="385" spans="1:19" ht="15.75" thickBot="1" x14ac:dyDescent="0.25">
      <c r="A385" s="561"/>
      <c r="B385" s="182"/>
      <c r="C385" s="143"/>
      <c r="D385" s="101">
        <f>SUM(D384)</f>
        <v>8.6999999999999993</v>
      </c>
      <c r="E385" s="155"/>
      <c r="F385" s="129"/>
      <c r="G385" s="102"/>
      <c r="H385" s="129"/>
      <c r="I385" s="92"/>
      <c r="J385" s="92"/>
      <c r="K385" s="93"/>
      <c r="L385" s="150"/>
      <c r="M385" s="155"/>
      <c r="N385" s="155"/>
      <c r="O385" s="143"/>
      <c r="P385" s="143"/>
      <c r="Q385" s="66"/>
      <c r="R385" s="155"/>
      <c r="S385" s="155"/>
    </row>
    <row r="386" spans="1:19" ht="30.75" thickBot="1" x14ac:dyDescent="0.25">
      <c r="A386" s="560"/>
      <c r="B386" s="23" t="s">
        <v>2067</v>
      </c>
      <c r="C386" s="188" t="s">
        <v>2067</v>
      </c>
      <c r="D386" s="90">
        <v>12</v>
      </c>
      <c r="E386" s="48" t="s">
        <v>947</v>
      </c>
      <c r="F386" s="23" t="s">
        <v>136</v>
      </c>
      <c r="G386" s="63" t="s">
        <v>1574</v>
      </c>
      <c r="H386" s="23" t="s">
        <v>2066</v>
      </c>
      <c r="I386" s="186">
        <v>40368</v>
      </c>
      <c r="J386" s="186">
        <v>40476</v>
      </c>
      <c r="K386" s="217">
        <v>40536</v>
      </c>
      <c r="L386" s="185">
        <v>7424</v>
      </c>
      <c r="M386" s="185">
        <v>7366.6</v>
      </c>
      <c r="N386" s="48">
        <v>100</v>
      </c>
      <c r="O386" s="121" t="s">
        <v>1240</v>
      </c>
      <c r="P386" s="126"/>
      <c r="Q386" s="184" t="s">
        <v>1864</v>
      </c>
      <c r="R386" s="48" t="s">
        <v>271</v>
      </c>
      <c r="S386" s="48">
        <v>1</v>
      </c>
    </row>
    <row r="387" spans="1:19" ht="15.75" thickBot="1" x14ac:dyDescent="0.25">
      <c r="A387" s="561"/>
      <c r="B387" s="182"/>
      <c r="C387" s="143"/>
      <c r="D387" s="101">
        <f>SUM(D386)</f>
        <v>12</v>
      </c>
      <c r="E387" s="155"/>
      <c r="F387" s="129"/>
      <c r="G387" s="102"/>
      <c r="H387" s="129"/>
      <c r="I387" s="92"/>
      <c r="J387" s="92"/>
      <c r="K387" s="93"/>
      <c r="L387" s="150"/>
      <c r="M387" s="155"/>
      <c r="N387" s="155"/>
      <c r="O387" s="143"/>
      <c r="P387" s="143"/>
      <c r="Q387" s="66"/>
      <c r="R387" s="155"/>
      <c r="S387" s="155"/>
    </row>
    <row r="388" spans="1:19" ht="30.75" thickBot="1" x14ac:dyDescent="0.25">
      <c r="A388" s="560"/>
      <c r="B388" s="23" t="s">
        <v>1688</v>
      </c>
      <c r="C388" s="23" t="s">
        <v>1688</v>
      </c>
      <c r="D388" s="90">
        <v>6</v>
      </c>
      <c r="E388" s="48" t="s">
        <v>947</v>
      </c>
      <c r="F388" s="23" t="s">
        <v>136</v>
      </c>
      <c r="G388" s="63" t="s">
        <v>1575</v>
      </c>
      <c r="H388" s="23" t="s">
        <v>1687</v>
      </c>
      <c r="I388" s="186">
        <v>40423</v>
      </c>
      <c r="J388" s="186">
        <v>40437</v>
      </c>
      <c r="K388" s="217">
        <v>40494</v>
      </c>
      <c r="L388" s="185">
        <v>3636</v>
      </c>
      <c r="M388" s="185">
        <v>3561.2</v>
      </c>
      <c r="N388" s="48">
        <v>100</v>
      </c>
      <c r="O388" s="121" t="s">
        <v>1689</v>
      </c>
      <c r="P388" s="126"/>
      <c r="Q388" s="184" t="s">
        <v>1875</v>
      </c>
      <c r="R388" s="48" t="s">
        <v>271</v>
      </c>
      <c r="S388" s="48">
        <v>1</v>
      </c>
    </row>
    <row r="389" spans="1:19" ht="15.75" thickBot="1" x14ac:dyDescent="0.25">
      <c r="A389" s="561"/>
      <c r="B389" s="182"/>
      <c r="C389" s="143"/>
      <c r="D389" s="101">
        <f>SUM(D388)</f>
        <v>6</v>
      </c>
      <c r="E389" s="155"/>
      <c r="F389" s="129"/>
      <c r="G389" s="102"/>
      <c r="H389" s="129"/>
      <c r="I389" s="92"/>
      <c r="J389" s="92"/>
      <c r="K389" s="93"/>
      <c r="L389" s="150"/>
      <c r="M389" s="155"/>
      <c r="N389" s="155"/>
      <c r="O389" s="143"/>
      <c r="P389" s="143"/>
      <c r="Q389" s="66"/>
      <c r="R389" s="155"/>
      <c r="S389" s="155"/>
    </row>
    <row r="390" spans="1:19" ht="30.75" thickBot="1" x14ac:dyDescent="0.25">
      <c r="A390" s="560"/>
      <c r="B390" s="23" t="s">
        <v>578</v>
      </c>
      <c r="C390" s="23" t="s">
        <v>578</v>
      </c>
      <c r="D390" s="90">
        <v>7.4</v>
      </c>
      <c r="E390" s="48" t="s">
        <v>947</v>
      </c>
      <c r="F390" s="23" t="s">
        <v>136</v>
      </c>
      <c r="G390" s="63"/>
      <c r="H390" s="23" t="s">
        <v>574</v>
      </c>
      <c r="I390" s="186">
        <v>40423</v>
      </c>
      <c r="J390" s="186">
        <v>40623</v>
      </c>
      <c r="K390" s="186">
        <v>40684</v>
      </c>
      <c r="L390" s="185">
        <v>4560</v>
      </c>
      <c r="M390" s="185">
        <v>4443.96</v>
      </c>
      <c r="N390" s="48">
        <v>100</v>
      </c>
      <c r="O390" s="121" t="s">
        <v>579</v>
      </c>
      <c r="P390" s="126"/>
      <c r="Q390" s="184" t="s">
        <v>573</v>
      </c>
      <c r="R390" s="48" t="s">
        <v>271</v>
      </c>
      <c r="S390" s="48">
        <v>1</v>
      </c>
    </row>
    <row r="391" spans="1:19" ht="15.75" thickBot="1" x14ac:dyDescent="0.25">
      <c r="A391" s="561"/>
      <c r="B391" s="182"/>
      <c r="C391" s="143"/>
      <c r="D391" s="101">
        <f>SUM(D390)</f>
        <v>7.4</v>
      </c>
      <c r="E391" s="155"/>
      <c r="F391" s="129"/>
      <c r="G391" s="102"/>
      <c r="H391" s="129"/>
      <c r="I391" s="92"/>
      <c r="J391" s="92"/>
      <c r="K391" s="93"/>
      <c r="L391" s="150"/>
      <c r="M391" s="155"/>
      <c r="N391" s="155"/>
      <c r="O391" s="143"/>
      <c r="P391" s="143"/>
      <c r="Q391" s="66"/>
      <c r="R391" s="155"/>
      <c r="S391" s="155"/>
    </row>
    <row r="392" spans="1:19" ht="30.75" thickBot="1" x14ac:dyDescent="0.25">
      <c r="A392" s="560"/>
      <c r="B392" s="23" t="s">
        <v>240</v>
      </c>
      <c r="C392" s="23" t="s">
        <v>240</v>
      </c>
      <c r="D392" s="90">
        <v>9</v>
      </c>
      <c r="E392" s="48" t="s">
        <v>947</v>
      </c>
      <c r="F392" s="23" t="s">
        <v>136</v>
      </c>
      <c r="G392" s="63" t="s">
        <v>2185</v>
      </c>
      <c r="H392" s="23" t="s">
        <v>138</v>
      </c>
      <c r="I392" s="186">
        <v>40423</v>
      </c>
      <c r="J392" s="186">
        <v>40448</v>
      </c>
      <c r="K392" s="217">
        <v>40509</v>
      </c>
      <c r="L392" s="185">
        <v>5238</v>
      </c>
      <c r="M392" s="185">
        <v>5222.3999999999996</v>
      </c>
      <c r="N392" s="48">
        <v>100</v>
      </c>
      <c r="O392" s="121" t="s">
        <v>242</v>
      </c>
      <c r="P392" s="126"/>
      <c r="Q392" s="184" t="s">
        <v>241</v>
      </c>
      <c r="R392" s="48" t="s">
        <v>271</v>
      </c>
      <c r="S392" s="48">
        <v>1</v>
      </c>
    </row>
    <row r="393" spans="1:19" ht="15.75" thickBot="1" x14ac:dyDescent="0.25">
      <c r="A393" s="561"/>
      <c r="B393" s="182"/>
      <c r="C393" s="143"/>
      <c r="D393" s="101">
        <f>SUM(D392)</f>
        <v>9</v>
      </c>
      <c r="E393" s="155"/>
      <c r="F393" s="129"/>
      <c r="G393" s="102"/>
      <c r="H393" s="129"/>
      <c r="I393" s="92"/>
      <c r="J393" s="92"/>
      <c r="K393" s="93"/>
      <c r="L393" s="150"/>
      <c r="M393" s="155"/>
      <c r="N393" s="155"/>
      <c r="O393" s="143"/>
      <c r="P393" s="143"/>
      <c r="Q393" s="66"/>
      <c r="R393" s="155"/>
      <c r="S393" s="155"/>
    </row>
    <row r="394" spans="1:19" ht="30" customHeight="1" x14ac:dyDescent="0.2">
      <c r="A394" s="560"/>
      <c r="B394" s="558" t="s">
        <v>1932</v>
      </c>
      <c r="C394" s="23" t="s">
        <v>1932</v>
      </c>
      <c r="D394" s="90">
        <v>4</v>
      </c>
      <c r="E394" s="546" t="s">
        <v>947</v>
      </c>
      <c r="F394" s="558" t="s">
        <v>136</v>
      </c>
      <c r="G394" s="79"/>
      <c r="H394" s="558" t="s">
        <v>1195</v>
      </c>
      <c r="I394" s="569">
        <v>40423</v>
      </c>
      <c r="J394" s="569">
        <v>40448</v>
      </c>
      <c r="K394" s="569">
        <v>40509</v>
      </c>
      <c r="L394" s="567">
        <v>3844</v>
      </c>
      <c r="M394" s="567">
        <v>3705.29</v>
      </c>
      <c r="N394" s="546">
        <v>100</v>
      </c>
      <c r="O394" s="565" t="s">
        <v>1198</v>
      </c>
      <c r="P394" s="713"/>
      <c r="Q394" s="563" t="s">
        <v>1200</v>
      </c>
      <c r="R394" s="546" t="s">
        <v>271</v>
      </c>
      <c r="S394" s="48">
        <v>1</v>
      </c>
    </row>
    <row r="395" spans="1:19" ht="15.75" thickBot="1" x14ac:dyDescent="0.25">
      <c r="A395" s="562"/>
      <c r="B395" s="559"/>
      <c r="C395" s="23" t="s">
        <v>1199</v>
      </c>
      <c r="D395" s="200">
        <v>2.5</v>
      </c>
      <c r="E395" s="548"/>
      <c r="F395" s="559"/>
      <c r="G395" s="224"/>
      <c r="H395" s="559"/>
      <c r="I395" s="570"/>
      <c r="J395" s="570"/>
      <c r="K395" s="570"/>
      <c r="L395" s="568"/>
      <c r="M395" s="568"/>
      <c r="N395" s="548"/>
      <c r="O395" s="566"/>
      <c r="P395" s="715"/>
      <c r="Q395" s="564"/>
      <c r="R395" s="548"/>
      <c r="S395" s="48"/>
    </row>
    <row r="396" spans="1:19" ht="15.75" thickBot="1" x14ac:dyDescent="0.25">
      <c r="A396" s="561"/>
      <c r="B396" s="182"/>
      <c r="C396" s="143"/>
      <c r="D396" s="101">
        <f>SUM(D394:D395)</f>
        <v>6.5</v>
      </c>
      <c r="E396" s="155"/>
      <c r="F396" s="129"/>
      <c r="G396" s="102"/>
      <c r="H396" s="129"/>
      <c r="I396" s="92"/>
      <c r="J396" s="92"/>
      <c r="K396" s="93"/>
      <c r="L396" s="150"/>
      <c r="M396" s="155"/>
      <c r="N396" s="155"/>
      <c r="O396" s="143"/>
      <c r="P396" s="143"/>
      <c r="Q396" s="66"/>
      <c r="R396" s="155"/>
      <c r="S396" s="155"/>
    </row>
    <row r="397" spans="1:19" ht="30.75" thickBot="1" x14ac:dyDescent="0.25">
      <c r="A397" s="560"/>
      <c r="B397" s="23" t="s">
        <v>2064</v>
      </c>
      <c r="C397" s="188" t="s">
        <v>2064</v>
      </c>
      <c r="D397" s="90">
        <v>11</v>
      </c>
      <c r="E397" s="48" t="s">
        <v>947</v>
      </c>
      <c r="F397" s="23" t="s">
        <v>136</v>
      </c>
      <c r="G397" s="153" t="s">
        <v>1576</v>
      </c>
      <c r="H397" s="23" t="s">
        <v>2065</v>
      </c>
      <c r="I397" s="186">
        <v>40368</v>
      </c>
      <c r="J397" s="186">
        <v>40479</v>
      </c>
      <c r="K397" s="217">
        <v>40539</v>
      </c>
      <c r="L397" s="185">
        <v>6630</v>
      </c>
      <c r="M397" s="185">
        <v>6455.3</v>
      </c>
      <c r="N397" s="48">
        <v>100</v>
      </c>
      <c r="O397" s="121" t="s">
        <v>288</v>
      </c>
      <c r="P397" s="126"/>
      <c r="Q397" s="184" t="s">
        <v>1863</v>
      </c>
      <c r="R397" s="48" t="s">
        <v>271</v>
      </c>
      <c r="S397" s="48">
        <v>1</v>
      </c>
    </row>
    <row r="398" spans="1:19" ht="15.75" thickBot="1" x14ac:dyDescent="0.25">
      <c r="A398" s="561"/>
      <c r="B398" s="182"/>
      <c r="C398" s="143"/>
      <c r="D398" s="101">
        <f>SUM(D397)</f>
        <v>11</v>
      </c>
      <c r="E398" s="155"/>
      <c r="F398" s="129"/>
      <c r="G398" s="102"/>
      <c r="H398" s="129"/>
      <c r="I398" s="92"/>
      <c r="J398" s="92"/>
      <c r="K398" s="93"/>
      <c r="L398" s="150"/>
      <c r="M398" s="155"/>
      <c r="N398" s="155"/>
      <c r="O398" s="143"/>
      <c r="P398" s="143"/>
      <c r="Q398" s="66"/>
      <c r="R398" s="155"/>
      <c r="S398" s="155"/>
    </row>
    <row r="399" spans="1:19" ht="30.75" thickBot="1" x14ac:dyDescent="0.25">
      <c r="A399" s="560"/>
      <c r="B399" s="23" t="s">
        <v>2194</v>
      </c>
      <c r="C399" s="188" t="s">
        <v>2194</v>
      </c>
      <c r="D399" s="90">
        <v>13.4</v>
      </c>
      <c r="E399" s="150" t="s">
        <v>1287</v>
      </c>
      <c r="F399" s="23" t="s">
        <v>136</v>
      </c>
      <c r="G399" s="63" t="s">
        <v>1577</v>
      </c>
      <c r="H399" s="23" t="s">
        <v>721</v>
      </c>
      <c r="I399" s="186">
        <v>40338</v>
      </c>
      <c r="J399" s="186">
        <v>40479</v>
      </c>
      <c r="K399" s="217">
        <v>40539</v>
      </c>
      <c r="L399" s="185">
        <v>8772</v>
      </c>
      <c r="M399" s="185">
        <v>6554.1</v>
      </c>
      <c r="N399" s="48">
        <v>100</v>
      </c>
      <c r="O399" s="121" t="s">
        <v>1703</v>
      </c>
      <c r="P399" s="126"/>
      <c r="Q399" s="184" t="s">
        <v>2195</v>
      </c>
      <c r="R399" s="48" t="s">
        <v>271</v>
      </c>
      <c r="S399" s="48">
        <v>1</v>
      </c>
    </row>
    <row r="400" spans="1:19" ht="15.75" thickBot="1" x14ac:dyDescent="0.25">
      <c r="A400" s="561"/>
      <c r="B400" s="182"/>
      <c r="C400" s="143"/>
      <c r="D400" s="101">
        <f>SUM(D399)</f>
        <v>13.4</v>
      </c>
      <c r="E400" s="155"/>
      <c r="F400" s="129"/>
      <c r="G400" s="102"/>
      <c r="H400" s="129"/>
      <c r="I400" s="92"/>
      <c r="J400" s="92"/>
      <c r="K400" s="93"/>
      <c r="L400" s="150"/>
      <c r="M400" s="155"/>
      <c r="N400" s="155"/>
      <c r="O400" s="143"/>
      <c r="P400" s="143"/>
      <c r="Q400" s="66"/>
      <c r="R400" s="155"/>
      <c r="S400" s="155"/>
    </row>
    <row r="401" spans="1:19" ht="30.75" thickBot="1" x14ac:dyDescent="0.25">
      <c r="A401" s="560"/>
      <c r="B401" s="23" t="s">
        <v>1007</v>
      </c>
      <c r="C401" s="188" t="s">
        <v>1007</v>
      </c>
      <c r="D401" s="90">
        <v>13.4</v>
      </c>
      <c r="E401" s="150" t="s">
        <v>1287</v>
      </c>
      <c r="F401" s="23" t="s">
        <v>136</v>
      </c>
      <c r="G401" s="63" t="s">
        <v>1649</v>
      </c>
      <c r="H401" s="23" t="s">
        <v>537</v>
      </c>
      <c r="I401" s="186">
        <v>40338</v>
      </c>
      <c r="J401" s="186">
        <v>40479</v>
      </c>
      <c r="K401" s="217">
        <v>40539</v>
      </c>
      <c r="L401" s="185">
        <v>8772</v>
      </c>
      <c r="M401" s="185">
        <v>6554.1</v>
      </c>
      <c r="N401" s="48">
        <v>100</v>
      </c>
      <c r="O401" s="121" t="s">
        <v>1703</v>
      </c>
      <c r="P401" s="126"/>
      <c r="Q401" s="184" t="s">
        <v>1702</v>
      </c>
      <c r="R401" s="48" t="s">
        <v>271</v>
      </c>
      <c r="S401" s="48">
        <v>1</v>
      </c>
    </row>
    <row r="402" spans="1:19" ht="15.75" thickBot="1" x14ac:dyDescent="0.25">
      <c r="A402" s="561"/>
      <c r="B402" s="182"/>
      <c r="C402" s="143"/>
      <c r="D402" s="101">
        <f>SUM(D401)</f>
        <v>13.4</v>
      </c>
      <c r="E402" s="155"/>
      <c r="F402" s="129"/>
      <c r="G402" s="102"/>
      <c r="H402" s="129"/>
      <c r="I402" s="92"/>
      <c r="J402" s="92"/>
      <c r="K402" s="93"/>
      <c r="L402" s="150"/>
      <c r="M402" s="155"/>
      <c r="N402" s="155"/>
      <c r="O402" s="143"/>
      <c r="P402" s="143"/>
      <c r="Q402" s="66"/>
      <c r="R402" s="155"/>
      <c r="S402" s="155"/>
    </row>
    <row r="403" spans="1:19" ht="30.75" thickBot="1" x14ac:dyDescent="0.25">
      <c r="A403" s="560"/>
      <c r="B403" s="23" t="s">
        <v>1051</v>
      </c>
      <c r="C403" s="188" t="s">
        <v>1051</v>
      </c>
      <c r="D403" s="90">
        <v>10</v>
      </c>
      <c r="E403" s="150" t="s">
        <v>1810</v>
      </c>
      <c r="F403" s="23" t="s">
        <v>136</v>
      </c>
      <c r="G403" s="63" t="s">
        <v>1551</v>
      </c>
      <c r="H403" s="23" t="s">
        <v>1710</v>
      </c>
      <c r="I403" s="186">
        <v>40437</v>
      </c>
      <c r="J403" s="186">
        <v>40458</v>
      </c>
      <c r="K403" s="217">
        <v>40519</v>
      </c>
      <c r="L403" s="185">
        <v>6100</v>
      </c>
      <c r="M403" s="185">
        <v>6100</v>
      </c>
      <c r="N403" s="48">
        <v>100</v>
      </c>
      <c r="O403" s="121" t="s">
        <v>288</v>
      </c>
      <c r="P403" s="126"/>
      <c r="Q403" s="184" t="s">
        <v>289</v>
      </c>
      <c r="R403" s="48" t="s">
        <v>271</v>
      </c>
      <c r="S403" s="48">
        <v>1</v>
      </c>
    </row>
    <row r="404" spans="1:19" ht="15.75" thickBot="1" x14ac:dyDescent="0.25">
      <c r="A404" s="561"/>
      <c r="B404" s="182"/>
      <c r="C404" s="143"/>
      <c r="D404" s="101">
        <f>SUM(D403)</f>
        <v>10</v>
      </c>
      <c r="E404" s="155"/>
      <c r="F404" s="129"/>
      <c r="G404" s="102"/>
      <c r="H404" s="129"/>
      <c r="I404" s="92"/>
      <c r="J404" s="92"/>
      <c r="K404" s="93"/>
      <c r="L404" s="150"/>
      <c r="M404" s="155"/>
      <c r="N404" s="155"/>
      <c r="O404" s="143"/>
      <c r="P404" s="143"/>
      <c r="Q404" s="66"/>
      <c r="R404" s="155"/>
      <c r="S404" s="155"/>
    </row>
    <row r="405" spans="1:19" ht="30.75" thickBot="1" x14ac:dyDescent="0.25">
      <c r="A405" s="560"/>
      <c r="B405" s="23" t="s">
        <v>291</v>
      </c>
      <c r="C405" s="188" t="s">
        <v>291</v>
      </c>
      <c r="D405" s="90">
        <v>4.3</v>
      </c>
      <c r="E405" s="150" t="s">
        <v>1810</v>
      </c>
      <c r="F405" s="23" t="s">
        <v>136</v>
      </c>
      <c r="G405" s="63" t="s">
        <v>1609</v>
      </c>
      <c r="H405" s="23" t="s">
        <v>1403</v>
      </c>
      <c r="I405" s="186">
        <v>40437</v>
      </c>
      <c r="J405" s="186">
        <v>40472</v>
      </c>
      <c r="K405" s="217">
        <v>40532</v>
      </c>
      <c r="L405" s="185">
        <v>3310.8</v>
      </c>
      <c r="M405" s="185">
        <v>3226.3</v>
      </c>
      <c r="N405" s="48">
        <v>100</v>
      </c>
      <c r="O405" s="121" t="s">
        <v>292</v>
      </c>
      <c r="P405" s="126"/>
      <c r="Q405" s="184" t="s">
        <v>290</v>
      </c>
      <c r="R405" s="48" t="s">
        <v>271</v>
      </c>
      <c r="S405" s="48">
        <v>1</v>
      </c>
    </row>
    <row r="406" spans="1:19" ht="15.75" thickBot="1" x14ac:dyDescent="0.25">
      <c r="A406" s="561"/>
      <c r="B406" s="182"/>
      <c r="C406" s="143"/>
      <c r="D406" s="101">
        <f>SUM(D405)</f>
        <v>4.3</v>
      </c>
      <c r="E406" s="155"/>
      <c r="F406" s="129"/>
      <c r="G406" s="102"/>
      <c r="H406" s="129"/>
      <c r="I406" s="92"/>
      <c r="J406" s="92"/>
      <c r="K406" s="93"/>
      <c r="L406" s="150"/>
      <c r="M406" s="155"/>
      <c r="N406" s="155"/>
      <c r="O406" s="143"/>
      <c r="P406" s="143"/>
      <c r="Q406" s="66"/>
      <c r="R406" s="155"/>
      <c r="S406" s="155"/>
    </row>
    <row r="407" spans="1:19" ht="30.75" thickBot="1" x14ac:dyDescent="0.25">
      <c r="A407" s="560"/>
      <c r="B407" s="23" t="s">
        <v>293</v>
      </c>
      <c r="C407" s="188" t="s">
        <v>293</v>
      </c>
      <c r="D407" s="90">
        <v>15</v>
      </c>
      <c r="E407" s="150" t="s">
        <v>1810</v>
      </c>
      <c r="F407" s="23" t="s">
        <v>136</v>
      </c>
      <c r="G407" s="63" t="s">
        <v>1498</v>
      </c>
      <c r="H407" s="23" t="s">
        <v>1005</v>
      </c>
      <c r="I407" s="186">
        <v>40437</v>
      </c>
      <c r="J407" s="186">
        <v>40472</v>
      </c>
      <c r="K407" s="217">
        <v>40532</v>
      </c>
      <c r="L407" s="185">
        <v>9120</v>
      </c>
      <c r="M407" s="185">
        <v>9032</v>
      </c>
      <c r="N407" s="48">
        <v>100</v>
      </c>
      <c r="O407" s="121" t="s">
        <v>1006</v>
      </c>
      <c r="P407" s="126"/>
      <c r="Q407" s="184" t="s">
        <v>294</v>
      </c>
      <c r="R407" s="48" t="s">
        <v>271</v>
      </c>
      <c r="S407" s="48">
        <v>1</v>
      </c>
    </row>
    <row r="408" spans="1:19" ht="15.75" thickBot="1" x14ac:dyDescent="0.25">
      <c r="A408" s="561"/>
      <c r="B408" s="182"/>
      <c r="C408" s="143"/>
      <c r="D408" s="101">
        <f>SUM(D407)</f>
        <v>15</v>
      </c>
      <c r="E408" s="155"/>
      <c r="F408" s="129"/>
      <c r="G408" s="102"/>
      <c r="H408" s="129"/>
      <c r="I408" s="92"/>
      <c r="J408" s="92"/>
      <c r="K408" s="93"/>
      <c r="L408" s="150"/>
      <c r="M408" s="155"/>
      <c r="N408" s="155"/>
      <c r="O408" s="143"/>
      <c r="P408" s="143"/>
      <c r="Q408" s="66"/>
      <c r="R408" s="155"/>
      <c r="S408" s="155"/>
    </row>
    <row r="409" spans="1:19" x14ac:dyDescent="0.2">
      <c r="A409" s="560"/>
      <c r="B409" s="558" t="s">
        <v>2155</v>
      </c>
      <c r="C409" s="188" t="s">
        <v>2155</v>
      </c>
      <c r="D409" s="202">
        <v>4.0999999999999996</v>
      </c>
      <c r="E409" s="543" t="s">
        <v>655</v>
      </c>
      <c r="F409" s="558" t="s">
        <v>136</v>
      </c>
      <c r="G409" s="79" t="s">
        <v>1610</v>
      </c>
      <c r="H409" s="558" t="s">
        <v>2156</v>
      </c>
      <c r="I409" s="569">
        <v>40441</v>
      </c>
      <c r="J409" s="569">
        <v>40477</v>
      </c>
      <c r="K409" s="707">
        <v>40537</v>
      </c>
      <c r="L409" s="567">
        <v>5789</v>
      </c>
      <c r="M409" s="567">
        <v>5784.5</v>
      </c>
      <c r="N409" s="546">
        <v>100</v>
      </c>
      <c r="O409" s="565" t="s">
        <v>296</v>
      </c>
      <c r="P409" s="565"/>
      <c r="Q409" s="563" t="s">
        <v>2154</v>
      </c>
      <c r="R409" s="546" t="s">
        <v>271</v>
      </c>
      <c r="S409" s="546"/>
    </row>
    <row r="410" spans="1:19" x14ac:dyDescent="0.2">
      <c r="A410" s="562"/>
      <c r="B410" s="613"/>
      <c r="C410" s="201" t="s">
        <v>2157</v>
      </c>
      <c r="D410" s="78">
        <v>0.8</v>
      </c>
      <c r="E410" s="544"/>
      <c r="F410" s="613"/>
      <c r="G410" s="79" t="s">
        <v>297</v>
      </c>
      <c r="H410" s="613"/>
      <c r="I410" s="710"/>
      <c r="J410" s="710"/>
      <c r="K410" s="711"/>
      <c r="L410" s="709"/>
      <c r="M410" s="709"/>
      <c r="N410" s="547"/>
      <c r="O410" s="614"/>
      <c r="P410" s="614"/>
      <c r="Q410" s="659"/>
      <c r="R410" s="547"/>
      <c r="S410" s="547"/>
    </row>
    <row r="411" spans="1:19" x14ac:dyDescent="0.2">
      <c r="A411" s="562"/>
      <c r="B411" s="613"/>
      <c r="C411" s="201" t="s">
        <v>1464</v>
      </c>
      <c r="D411" s="78">
        <v>1.7</v>
      </c>
      <c r="E411" s="544"/>
      <c r="F411" s="613"/>
      <c r="G411" s="79" t="s">
        <v>1611</v>
      </c>
      <c r="H411" s="613"/>
      <c r="I411" s="710"/>
      <c r="J411" s="710"/>
      <c r="K411" s="711"/>
      <c r="L411" s="709"/>
      <c r="M411" s="709"/>
      <c r="N411" s="547"/>
      <c r="O411" s="614"/>
      <c r="P411" s="614"/>
      <c r="Q411" s="659"/>
      <c r="R411" s="547"/>
      <c r="S411" s="547"/>
    </row>
    <row r="412" spans="1:19" x14ac:dyDescent="0.2">
      <c r="A412" s="562"/>
      <c r="B412" s="613"/>
      <c r="C412" s="236" t="s">
        <v>295</v>
      </c>
      <c r="D412" s="78">
        <v>3.4</v>
      </c>
      <c r="E412" s="544"/>
      <c r="F412" s="613"/>
      <c r="G412" s="63" t="s">
        <v>1912</v>
      </c>
      <c r="H412" s="613"/>
      <c r="I412" s="710"/>
      <c r="J412" s="710"/>
      <c r="K412" s="711"/>
      <c r="L412" s="709"/>
      <c r="M412" s="709"/>
      <c r="N412" s="547"/>
      <c r="O412" s="614"/>
      <c r="P412" s="614"/>
      <c r="Q412" s="659"/>
      <c r="R412" s="547"/>
      <c r="S412" s="547"/>
    </row>
    <row r="413" spans="1:19" ht="15.75" thickBot="1" x14ac:dyDescent="0.25">
      <c r="A413" s="562"/>
      <c r="B413" s="559"/>
      <c r="C413" s="201" t="s">
        <v>541</v>
      </c>
      <c r="D413" s="200">
        <v>1.6</v>
      </c>
      <c r="E413" s="545"/>
      <c r="F413" s="559"/>
      <c r="G413" s="79" t="s">
        <v>1247</v>
      </c>
      <c r="H413" s="559"/>
      <c r="I413" s="570"/>
      <c r="J413" s="570"/>
      <c r="K413" s="708"/>
      <c r="L413" s="568"/>
      <c r="M413" s="568"/>
      <c r="N413" s="548"/>
      <c r="O413" s="566"/>
      <c r="P413" s="566"/>
      <c r="Q413" s="564"/>
      <c r="R413" s="548"/>
      <c r="S413" s="548"/>
    </row>
    <row r="414" spans="1:19" ht="15.75" thickBot="1" x14ac:dyDescent="0.25">
      <c r="A414" s="561"/>
      <c r="B414" s="182"/>
      <c r="C414" s="143"/>
      <c r="D414" s="101">
        <f>SUM(D409:D413)</f>
        <v>11.6</v>
      </c>
      <c r="E414" s="155"/>
      <c r="F414" s="129"/>
      <c r="G414" s="102"/>
      <c r="H414" s="129"/>
      <c r="I414" s="92"/>
      <c r="J414" s="92"/>
      <c r="K414" s="93"/>
      <c r="L414" s="150"/>
      <c r="M414" s="155"/>
      <c r="N414" s="155"/>
      <c r="O414" s="143"/>
      <c r="P414" s="143"/>
      <c r="Q414" s="66"/>
      <c r="R414" s="155"/>
      <c r="S414" s="155"/>
    </row>
    <row r="415" spans="1:19" ht="30.75" thickBot="1" x14ac:dyDescent="0.25">
      <c r="A415" s="560"/>
      <c r="B415" s="23" t="s">
        <v>1416</v>
      </c>
      <c r="C415" s="188" t="s">
        <v>1416</v>
      </c>
      <c r="D415" s="90">
        <v>5.6</v>
      </c>
      <c r="E415" s="150" t="s">
        <v>1676</v>
      </c>
      <c r="F415" s="23" t="s">
        <v>136</v>
      </c>
      <c r="G415" s="63"/>
      <c r="H415" s="23" t="s">
        <v>580</v>
      </c>
      <c r="I415" s="186">
        <v>40556</v>
      </c>
      <c r="J415" s="186">
        <v>40606</v>
      </c>
      <c r="K415" s="186">
        <v>40667</v>
      </c>
      <c r="L415" s="185">
        <v>3572</v>
      </c>
      <c r="M415" s="185">
        <v>3487.2</v>
      </c>
      <c r="N415" s="48">
        <v>100</v>
      </c>
      <c r="O415" s="121" t="s">
        <v>179</v>
      </c>
      <c r="P415" s="121"/>
      <c r="Q415" s="184" t="s">
        <v>517</v>
      </c>
      <c r="R415" s="48" t="s">
        <v>271</v>
      </c>
      <c r="S415" s="48"/>
    </row>
    <row r="416" spans="1:19" ht="15.75" thickBot="1" x14ac:dyDescent="0.25">
      <c r="A416" s="561"/>
      <c r="B416" s="182"/>
      <c r="C416" s="143"/>
      <c r="D416" s="101">
        <f>SUM(D415)</f>
        <v>5.6</v>
      </c>
      <c r="E416" s="155"/>
      <c r="F416" s="129"/>
      <c r="G416" s="102"/>
      <c r="H416" s="129"/>
      <c r="I416" s="92"/>
      <c r="J416" s="92"/>
      <c r="K416" s="93"/>
      <c r="L416" s="150"/>
      <c r="M416" s="155"/>
      <c r="N416" s="155"/>
      <c r="O416" s="143"/>
      <c r="P416" s="143"/>
      <c r="Q416" s="66"/>
      <c r="R416" s="155"/>
      <c r="S416" s="155"/>
    </row>
    <row r="417" spans="1:19" ht="30.75" thickBot="1" x14ac:dyDescent="0.25">
      <c r="A417" s="560"/>
      <c r="B417" s="23" t="s">
        <v>1664</v>
      </c>
      <c r="C417" s="188" t="s">
        <v>666</v>
      </c>
      <c r="D417" s="90">
        <v>17.100000000000001</v>
      </c>
      <c r="E417" s="150" t="s">
        <v>1949</v>
      </c>
      <c r="F417" s="23" t="s">
        <v>136</v>
      </c>
      <c r="G417" s="63" t="s">
        <v>1612</v>
      </c>
      <c r="H417" s="23" t="s">
        <v>988</v>
      </c>
      <c r="I417" s="186">
        <v>40441</v>
      </c>
      <c r="J417" s="186">
        <v>40556</v>
      </c>
      <c r="K417" s="186">
        <v>40615</v>
      </c>
      <c r="L417" s="185">
        <v>10412.6</v>
      </c>
      <c r="M417" s="185">
        <v>8204</v>
      </c>
      <c r="N417" s="48">
        <v>100</v>
      </c>
      <c r="O417" s="121" t="s">
        <v>1915</v>
      </c>
      <c r="P417" s="121"/>
      <c r="Q417" s="184"/>
      <c r="R417" s="48" t="s">
        <v>271</v>
      </c>
      <c r="S417" s="48"/>
    </row>
    <row r="418" spans="1:19" ht="15.75" thickBot="1" x14ac:dyDescent="0.25">
      <c r="A418" s="561"/>
      <c r="B418" s="182"/>
      <c r="C418" s="143"/>
      <c r="D418" s="101">
        <f>SUM(D417)</f>
        <v>17.100000000000001</v>
      </c>
      <c r="E418" s="155"/>
      <c r="F418" s="129"/>
      <c r="G418" s="102"/>
      <c r="H418" s="129"/>
      <c r="I418" s="92"/>
      <c r="J418" s="92"/>
      <c r="K418" s="93"/>
      <c r="L418" s="150"/>
      <c r="M418" s="155"/>
      <c r="N418" s="155"/>
      <c r="O418" s="143"/>
      <c r="P418" s="143"/>
      <c r="Q418" s="66"/>
      <c r="R418" s="155"/>
      <c r="S418" s="155"/>
    </row>
    <row r="419" spans="1:19" ht="30" customHeight="1" x14ac:dyDescent="0.2">
      <c r="A419" s="560"/>
      <c r="B419" s="558" t="s">
        <v>595</v>
      </c>
      <c r="C419" s="188" t="s">
        <v>595</v>
      </c>
      <c r="D419" s="202">
        <v>3.6</v>
      </c>
      <c r="E419" s="543" t="s">
        <v>655</v>
      </c>
      <c r="F419" s="558" t="s">
        <v>136</v>
      </c>
      <c r="G419" s="79" t="s">
        <v>1613</v>
      </c>
      <c r="H419" s="558" t="s">
        <v>570</v>
      </c>
      <c r="I419" s="569">
        <v>40441</v>
      </c>
      <c r="J419" s="569">
        <v>40477</v>
      </c>
      <c r="K419" s="707">
        <v>40537</v>
      </c>
      <c r="L419" s="567">
        <v>5696.8</v>
      </c>
      <c r="M419" s="567">
        <v>5552.8</v>
      </c>
      <c r="N419" s="546">
        <v>100</v>
      </c>
      <c r="O419" s="565" t="s">
        <v>1186</v>
      </c>
      <c r="P419" s="565"/>
      <c r="Q419" s="563" t="s">
        <v>594</v>
      </c>
      <c r="R419" s="546" t="s">
        <v>271</v>
      </c>
      <c r="S419" s="546">
        <v>1</v>
      </c>
    </row>
    <row r="420" spans="1:19" ht="15.75" thickBot="1" x14ac:dyDescent="0.25">
      <c r="A420" s="562"/>
      <c r="B420" s="559"/>
      <c r="C420" s="201" t="s">
        <v>1</v>
      </c>
      <c r="D420" s="200">
        <v>5.6</v>
      </c>
      <c r="E420" s="545"/>
      <c r="F420" s="559"/>
      <c r="G420" s="224" t="s">
        <v>1614</v>
      </c>
      <c r="H420" s="559"/>
      <c r="I420" s="570"/>
      <c r="J420" s="570"/>
      <c r="K420" s="708"/>
      <c r="L420" s="568"/>
      <c r="M420" s="568"/>
      <c r="N420" s="548"/>
      <c r="O420" s="566"/>
      <c r="P420" s="566"/>
      <c r="Q420" s="564"/>
      <c r="R420" s="548"/>
      <c r="S420" s="548"/>
    </row>
    <row r="421" spans="1:19" ht="15.75" thickBot="1" x14ac:dyDescent="0.25">
      <c r="A421" s="561"/>
      <c r="B421" s="182"/>
      <c r="C421" s="143"/>
      <c r="D421" s="101">
        <f>SUM(D419:D420)</f>
        <v>9.1999999999999993</v>
      </c>
      <c r="E421" s="155"/>
      <c r="F421" s="129"/>
      <c r="G421" s="102"/>
      <c r="H421" s="129"/>
      <c r="I421" s="92"/>
      <c r="J421" s="92"/>
      <c r="K421" s="93"/>
      <c r="L421" s="150"/>
      <c r="M421" s="155"/>
      <c r="N421" s="155"/>
      <c r="O421" s="143"/>
      <c r="P421" s="143"/>
      <c r="Q421" s="66"/>
      <c r="R421" s="155"/>
      <c r="S421" s="155"/>
    </row>
    <row r="422" spans="1:19" ht="30.75" thickBot="1" x14ac:dyDescent="0.25">
      <c r="A422" s="560"/>
      <c r="B422" s="23" t="s">
        <v>1704</v>
      </c>
      <c r="C422" s="188" t="s">
        <v>1704</v>
      </c>
      <c r="D422" s="90">
        <v>14</v>
      </c>
      <c r="E422" s="150" t="s">
        <v>1287</v>
      </c>
      <c r="F422" s="23" t="s">
        <v>136</v>
      </c>
      <c r="G422" s="63" t="s">
        <v>1436</v>
      </c>
      <c r="H422" s="23" t="s">
        <v>1706</v>
      </c>
      <c r="I422" s="186">
        <v>40368</v>
      </c>
      <c r="J422" s="186">
        <v>40496</v>
      </c>
      <c r="K422" s="217">
        <v>40548</v>
      </c>
      <c r="L422" s="185">
        <v>8486</v>
      </c>
      <c r="M422" s="185">
        <v>7252.9</v>
      </c>
      <c r="N422" s="48">
        <v>100</v>
      </c>
      <c r="O422" s="121" t="s">
        <v>2232</v>
      </c>
      <c r="P422" s="126"/>
      <c r="Q422" s="184" t="s">
        <v>1705</v>
      </c>
      <c r="R422" s="48" t="s">
        <v>271</v>
      </c>
      <c r="S422" s="48">
        <v>1</v>
      </c>
    </row>
    <row r="423" spans="1:19" ht="15.75" thickBot="1" x14ac:dyDescent="0.25">
      <c r="A423" s="561"/>
      <c r="B423" s="182"/>
      <c r="C423" s="143"/>
      <c r="D423" s="101">
        <f>SUM(D422)</f>
        <v>14</v>
      </c>
      <c r="E423" s="155"/>
      <c r="F423" s="129"/>
      <c r="G423" s="102"/>
      <c r="H423" s="129"/>
      <c r="I423" s="92"/>
      <c r="J423" s="92"/>
      <c r="K423" s="93"/>
      <c r="L423" s="150"/>
      <c r="M423" s="155"/>
      <c r="N423" s="155"/>
      <c r="O423" s="143"/>
      <c r="P423" s="143"/>
      <c r="Q423" s="66"/>
      <c r="R423" s="155"/>
      <c r="S423" s="155"/>
    </row>
    <row r="424" spans="1:19" ht="30.75" thickBot="1" x14ac:dyDescent="0.25">
      <c r="A424" s="560"/>
      <c r="B424" s="23" t="s">
        <v>539</v>
      </c>
      <c r="C424" s="188" t="s">
        <v>539</v>
      </c>
      <c r="D424" s="90">
        <v>4.5</v>
      </c>
      <c r="E424" s="150" t="s">
        <v>655</v>
      </c>
      <c r="F424" s="23" t="s">
        <v>136</v>
      </c>
      <c r="G424" s="63" t="s">
        <v>1912</v>
      </c>
      <c r="H424" s="23" t="s">
        <v>957</v>
      </c>
      <c r="I424" s="186">
        <v>40441</v>
      </c>
      <c r="J424" s="186">
        <v>40479</v>
      </c>
      <c r="K424" s="217">
        <v>40539</v>
      </c>
      <c r="L424" s="185">
        <v>3536</v>
      </c>
      <c r="M424" s="185">
        <v>3513.8</v>
      </c>
      <c r="N424" s="48">
        <v>100</v>
      </c>
      <c r="O424" s="121" t="s">
        <v>732</v>
      </c>
      <c r="P424" s="126"/>
      <c r="Q424" s="184" t="s">
        <v>538</v>
      </c>
      <c r="R424" s="48" t="s">
        <v>271</v>
      </c>
      <c r="S424" s="48">
        <v>1</v>
      </c>
    </row>
    <row r="425" spans="1:19" s="105" customFormat="1" x14ac:dyDescent="0.2">
      <c r="A425" s="561"/>
      <c r="B425" s="178"/>
      <c r="C425" s="140"/>
      <c r="D425" s="203">
        <f>SUM(D424)</f>
        <v>4.5</v>
      </c>
      <c r="E425" s="153"/>
      <c r="F425" s="24"/>
      <c r="G425" s="63"/>
      <c r="H425" s="24"/>
      <c r="I425" s="81"/>
      <c r="J425" s="81"/>
      <c r="K425" s="82"/>
      <c r="L425" s="152"/>
      <c r="M425" s="153"/>
      <c r="N425" s="153"/>
      <c r="O425" s="140"/>
      <c r="P425" s="140"/>
      <c r="Q425" s="80"/>
      <c r="R425" s="153"/>
      <c r="S425" s="153"/>
    </row>
    <row r="426" spans="1:19" ht="30" customHeight="1" x14ac:dyDescent="0.2">
      <c r="A426" s="560"/>
      <c r="B426" s="558" t="s">
        <v>2128</v>
      </c>
      <c r="C426" s="188" t="s">
        <v>2128</v>
      </c>
      <c r="D426" s="90">
        <v>5.0999999999999996</v>
      </c>
      <c r="E426" s="543" t="s">
        <v>655</v>
      </c>
      <c r="F426" s="558" t="s">
        <v>136</v>
      </c>
      <c r="G426" s="63" t="s">
        <v>1615</v>
      </c>
      <c r="H426" s="558" t="s">
        <v>934</v>
      </c>
      <c r="I426" s="569">
        <v>40435</v>
      </c>
      <c r="J426" s="569">
        <v>40528</v>
      </c>
      <c r="K426" s="569">
        <v>40590</v>
      </c>
      <c r="L426" s="567">
        <v>3935.6</v>
      </c>
      <c r="M426" s="567">
        <v>3910</v>
      </c>
      <c r="N426" s="546">
        <v>100</v>
      </c>
      <c r="O426" s="565" t="s">
        <v>463</v>
      </c>
      <c r="P426" s="713"/>
      <c r="Q426" s="563" t="s">
        <v>2129</v>
      </c>
      <c r="R426" s="546" t="s">
        <v>271</v>
      </c>
      <c r="S426" s="546"/>
    </row>
    <row r="427" spans="1:19" x14ac:dyDescent="0.2">
      <c r="A427" s="562"/>
      <c r="B427" s="613"/>
      <c r="C427" s="236" t="s">
        <v>461</v>
      </c>
      <c r="D427" s="202">
        <v>1.35</v>
      </c>
      <c r="E427" s="544"/>
      <c r="F427" s="613"/>
      <c r="G427" s="63" t="s">
        <v>1912</v>
      </c>
      <c r="H427" s="613"/>
      <c r="I427" s="710"/>
      <c r="J427" s="710"/>
      <c r="K427" s="710"/>
      <c r="L427" s="709"/>
      <c r="M427" s="709"/>
      <c r="N427" s="547"/>
      <c r="O427" s="614"/>
      <c r="P427" s="714"/>
      <c r="Q427" s="659"/>
      <c r="R427" s="547"/>
      <c r="S427" s="547"/>
    </row>
    <row r="428" spans="1:19" ht="15.75" thickBot="1" x14ac:dyDescent="0.25">
      <c r="A428" s="562"/>
      <c r="B428" s="559"/>
      <c r="C428" s="236" t="s">
        <v>462</v>
      </c>
      <c r="D428" s="202">
        <v>0.8</v>
      </c>
      <c r="E428" s="545"/>
      <c r="F428" s="559"/>
      <c r="G428" s="63" t="s">
        <v>1912</v>
      </c>
      <c r="H428" s="559"/>
      <c r="I428" s="570"/>
      <c r="J428" s="570"/>
      <c r="K428" s="570"/>
      <c r="L428" s="568"/>
      <c r="M428" s="568"/>
      <c r="N428" s="548"/>
      <c r="O428" s="566"/>
      <c r="P428" s="715"/>
      <c r="Q428" s="564"/>
      <c r="R428" s="548"/>
      <c r="S428" s="548"/>
    </row>
    <row r="429" spans="1:19" s="105" customFormat="1" x14ac:dyDescent="0.2">
      <c r="A429" s="561"/>
      <c r="B429" s="178"/>
      <c r="C429" s="140"/>
      <c r="D429" s="203">
        <f>SUM(D426:D428)</f>
        <v>7.2499999999999991</v>
      </c>
      <c r="E429" s="153"/>
      <c r="F429" s="24"/>
      <c r="G429" s="63"/>
      <c r="H429" s="24"/>
      <c r="I429" s="81"/>
      <c r="J429" s="81"/>
      <c r="K429" s="82"/>
      <c r="L429" s="152"/>
      <c r="M429" s="153"/>
      <c r="N429" s="153"/>
      <c r="O429" s="140"/>
      <c r="P429" s="140"/>
      <c r="Q429" s="80"/>
      <c r="R429" s="153"/>
      <c r="S429" s="153"/>
    </row>
  </sheetData>
  <autoFilter ref="A5:Q342">
    <filterColumn colId="1" showButton="0"/>
    <filterColumn colId="8" showButton="0"/>
    <filterColumn colId="9" showButton="0"/>
  </autoFilter>
  <mergeCells count="1121">
    <mergeCell ref="S426:S428"/>
    <mergeCell ref="N426:N428"/>
    <mergeCell ref="O426:O428"/>
    <mergeCell ref="P426:P428"/>
    <mergeCell ref="Q426:Q428"/>
    <mergeCell ref="M426:M428"/>
    <mergeCell ref="J426:J428"/>
    <mergeCell ref="K426:K428"/>
    <mergeCell ref="E426:E428"/>
    <mergeCell ref="L394:L395"/>
    <mergeCell ref="K394:K395"/>
    <mergeCell ref="R426:R428"/>
    <mergeCell ref="Q409:Q413"/>
    <mergeCell ref="R419:R420"/>
    <mergeCell ref="L426:L428"/>
    <mergeCell ref="I426:I428"/>
    <mergeCell ref="B394:B395"/>
    <mergeCell ref="F394:F395"/>
    <mergeCell ref="H394:H395"/>
    <mergeCell ref="E394:E395"/>
    <mergeCell ref="H419:H420"/>
    <mergeCell ref="B426:B428"/>
    <mergeCell ref="F426:F428"/>
    <mergeCell ref="H426:H428"/>
    <mergeCell ref="Q394:Q395"/>
    <mergeCell ref="R394:R395"/>
    <mergeCell ref="M394:M395"/>
    <mergeCell ref="N394:N395"/>
    <mergeCell ref="O394:O395"/>
    <mergeCell ref="P394:P395"/>
    <mergeCell ref="I394:I395"/>
    <mergeCell ref="J394:J395"/>
    <mergeCell ref="P375:P376"/>
    <mergeCell ref="Q212:Q215"/>
    <mergeCell ref="Q222:Q226"/>
    <mergeCell ref="Q74:Q78"/>
    <mergeCell ref="Q250:Q256"/>
    <mergeCell ref="Q231:Q239"/>
    <mergeCell ref="Q188:Q190"/>
    <mergeCell ref="Q108:Q112"/>
    <mergeCell ref="Q209:Q210"/>
    <mergeCell ref="Q178:Q182"/>
    <mergeCell ref="S419:S420"/>
    <mergeCell ref="Q375:Q376"/>
    <mergeCell ref="Q349:Q350"/>
    <mergeCell ref="H375:H376"/>
    <mergeCell ref="P409:P413"/>
    <mergeCell ref="O375:O376"/>
    <mergeCell ref="J375:J376"/>
    <mergeCell ref="O409:O413"/>
    <mergeCell ref="H409:H413"/>
    <mergeCell ref="I375:I376"/>
    <mergeCell ref="S409:S413"/>
    <mergeCell ref="R409:R413"/>
    <mergeCell ref="S349:S350"/>
    <mergeCell ref="R372:R373"/>
    <mergeCell ref="S364:S366"/>
    <mergeCell ref="S323:S327"/>
    <mergeCell ref="R349:R350"/>
    <mergeCell ref="S375:S376"/>
    <mergeCell ref="R375:R376"/>
    <mergeCell ref="S372:S373"/>
    <mergeCell ref="R264:R268"/>
    <mergeCell ref="Q364:Q366"/>
    <mergeCell ref="Q372:Q373"/>
    <mergeCell ref="S318:S319"/>
    <mergeCell ref="R274:R281"/>
    <mergeCell ref="R283:R288"/>
    <mergeCell ref="S283:S288"/>
    <mergeCell ref="R290:R291"/>
    <mergeCell ref="R301:R304"/>
    <mergeCell ref="Q323:Q327"/>
    <mergeCell ref="Q270:Q272"/>
    <mergeCell ref="Q290:Q291"/>
    <mergeCell ref="R147:R148"/>
    <mergeCell ref="R161:R165"/>
    <mergeCell ref="S293:S299"/>
    <mergeCell ref="S231:S239"/>
    <mergeCell ref="S270:S272"/>
    <mergeCell ref="S274:S281"/>
    <mergeCell ref="S258:S262"/>
    <mergeCell ref="S264:S268"/>
    <mergeCell ref="S241:S243"/>
    <mergeCell ref="S290:S291"/>
    <mergeCell ref="S222:S226"/>
    <mergeCell ref="S197:S201"/>
    <mergeCell ref="S203:S205"/>
    <mergeCell ref="S217:S220"/>
    <mergeCell ref="S209:S210"/>
    <mergeCell ref="S212:S215"/>
    <mergeCell ref="S245:S248"/>
    <mergeCell ref="R173:R176"/>
    <mergeCell ref="R178:R182"/>
    <mergeCell ref="Q184:Q186"/>
    <mergeCell ref="Q155:Q159"/>
    <mergeCell ref="S301:S304"/>
    <mergeCell ref="R82:R84"/>
    <mergeCell ref="R74:R78"/>
    <mergeCell ref="R364:R366"/>
    <mergeCell ref="R184:R186"/>
    <mergeCell ref="R188:R190"/>
    <mergeCell ref="R212:R215"/>
    <mergeCell ref="R293:R299"/>
    <mergeCell ref="R228:R229"/>
    <mergeCell ref="R318:R319"/>
    <mergeCell ref="R245:R248"/>
    <mergeCell ref="R323:R327"/>
    <mergeCell ref="P12:P15"/>
    <mergeCell ref="P17:P20"/>
    <mergeCell ref="Q5:Q7"/>
    <mergeCell ref="Q9:Q10"/>
    <mergeCell ref="R47:R50"/>
    <mergeCell ref="R52:R54"/>
    <mergeCell ref="R22:R24"/>
    <mergeCell ref="R26:R30"/>
    <mergeCell ref="R32:R34"/>
    <mergeCell ref="R36:R37"/>
    <mergeCell ref="R42:R45"/>
    <mergeCell ref="R39:R40"/>
    <mergeCell ref="R258:R262"/>
    <mergeCell ref="R270:R272"/>
    <mergeCell ref="R231:R239"/>
    <mergeCell ref="R192:R195"/>
    <mergeCell ref="R197:R201"/>
    <mergeCell ref="R203:R205"/>
    <mergeCell ref="R209:R210"/>
    <mergeCell ref="R222:R226"/>
    <mergeCell ref="R217:R220"/>
    <mergeCell ref="P372:P373"/>
    <mergeCell ref="I364:I366"/>
    <mergeCell ref="I372:I373"/>
    <mergeCell ref="J364:J366"/>
    <mergeCell ref="P349:P350"/>
    <mergeCell ref="N349:N350"/>
    <mergeCell ref="O349:O350"/>
    <mergeCell ref="P52:P54"/>
    <mergeCell ref="P155:P159"/>
    <mergeCell ref="P150:P153"/>
    <mergeCell ref="P143:P145"/>
    <mergeCell ref="P139:P141"/>
    <mergeCell ref="P108:P112"/>
    <mergeCell ref="P70:P72"/>
    <mergeCell ref="P132:P135"/>
    <mergeCell ref="P147:P148"/>
    <mergeCell ref="P364:P366"/>
    <mergeCell ref="L323:L327"/>
    <mergeCell ref="K364:K366"/>
    <mergeCell ref="L364:L366"/>
    <mergeCell ref="J349:J350"/>
    <mergeCell ref="O364:O366"/>
    <mergeCell ref="M364:M366"/>
    <mergeCell ref="P323:P327"/>
    <mergeCell ref="M349:M350"/>
    <mergeCell ref="I323:I327"/>
    <mergeCell ref="J323:J327"/>
    <mergeCell ref="K323:K327"/>
    <mergeCell ref="M323:M327"/>
    <mergeCell ref="N323:N327"/>
    <mergeCell ref="M318:M319"/>
    <mergeCell ref="O318:O319"/>
    <mergeCell ref="P26:P30"/>
    <mergeCell ref="P32:P34"/>
    <mergeCell ref="P114:P119"/>
    <mergeCell ref="P67:P68"/>
    <mergeCell ref="P63:P65"/>
    <mergeCell ref="P36:P37"/>
    <mergeCell ref="P56:P61"/>
    <mergeCell ref="P39:P40"/>
    <mergeCell ref="P42:P45"/>
    <mergeCell ref="F228:F229"/>
    <mergeCell ref="F245:F248"/>
    <mergeCell ref="F250:F256"/>
    <mergeCell ref="F258:F262"/>
    <mergeCell ref="F231:F239"/>
    <mergeCell ref="F318:F319"/>
    <mergeCell ref="F293:F299"/>
    <mergeCell ref="F290:F291"/>
    <mergeCell ref="I301:I304"/>
    <mergeCell ref="I318:I319"/>
    <mergeCell ref="H318:H319"/>
    <mergeCell ref="H301:H304"/>
    <mergeCell ref="J301:J304"/>
    <mergeCell ref="K301:K304"/>
    <mergeCell ref="K318:K319"/>
    <mergeCell ref="J318:J319"/>
    <mergeCell ref="F178:F182"/>
    <mergeCell ref="F184:F186"/>
    <mergeCell ref="F127:F130"/>
    <mergeCell ref="F132:F135"/>
    <mergeCell ref="F139:F141"/>
    <mergeCell ref="F143:F145"/>
    <mergeCell ref="F150:F153"/>
    <mergeCell ref="F167:F171"/>
    <mergeCell ref="F147:F148"/>
    <mergeCell ref="F188:F190"/>
    <mergeCell ref="F192:F195"/>
    <mergeCell ref="F197:F201"/>
    <mergeCell ref="F203:F205"/>
    <mergeCell ref="F209:F210"/>
    <mergeCell ref="F212:F215"/>
    <mergeCell ref="A388:A389"/>
    <mergeCell ref="A397:A398"/>
    <mergeCell ref="A394:A396"/>
    <mergeCell ref="A424:A425"/>
    <mergeCell ref="A419:A421"/>
    <mergeCell ref="A409:A414"/>
    <mergeCell ref="A417:A418"/>
    <mergeCell ref="A422:A423"/>
    <mergeCell ref="A415:A416"/>
    <mergeCell ref="A405:A406"/>
    <mergeCell ref="A333:A334"/>
    <mergeCell ref="A337:A338"/>
    <mergeCell ref="A349:A351"/>
    <mergeCell ref="A341:A342"/>
    <mergeCell ref="A347:A348"/>
    <mergeCell ref="A339:A340"/>
    <mergeCell ref="A335:A336"/>
    <mergeCell ref="A343:A344"/>
    <mergeCell ref="A345:A346"/>
    <mergeCell ref="A390:A391"/>
    <mergeCell ref="A392:A393"/>
    <mergeCell ref="F375:F376"/>
    <mergeCell ref="E375:E376"/>
    <mergeCell ref="A178:A183"/>
    <mergeCell ref="A426:A429"/>
    <mergeCell ref="M409:M413"/>
    <mergeCell ref="N409:N413"/>
    <mergeCell ref="I409:I413"/>
    <mergeCell ref="J409:J413"/>
    <mergeCell ref="K409:K413"/>
    <mergeCell ref="L409:L413"/>
    <mergeCell ref="J419:J420"/>
    <mergeCell ref="B419:B420"/>
    <mergeCell ref="K419:K420"/>
    <mergeCell ref="A407:A408"/>
    <mergeCell ref="A401:A402"/>
    <mergeCell ref="F419:F420"/>
    <mergeCell ref="F409:F413"/>
    <mergeCell ref="E409:E413"/>
    <mergeCell ref="E419:E420"/>
    <mergeCell ref="A403:A404"/>
    <mergeCell ref="B409:B413"/>
    <mergeCell ref="A382:A383"/>
    <mergeCell ref="B375:B376"/>
    <mergeCell ref="K375:K376"/>
    <mergeCell ref="A375:A377"/>
    <mergeCell ref="M375:M376"/>
    <mergeCell ref="J372:J373"/>
    <mergeCell ref="K372:K373"/>
    <mergeCell ref="L372:L373"/>
    <mergeCell ref="N375:N376"/>
    <mergeCell ref="O372:O373"/>
    <mergeCell ref="M372:M373"/>
    <mergeCell ref="N372:N373"/>
    <mergeCell ref="O323:O327"/>
    <mergeCell ref="A323:A328"/>
    <mergeCell ref="B323:B327"/>
    <mergeCell ref="H323:H327"/>
    <mergeCell ref="E349:E350"/>
    <mergeCell ref="A331:A332"/>
    <mergeCell ref="F323:F327"/>
    <mergeCell ref="F349:F350"/>
    <mergeCell ref="I264:I268"/>
    <mergeCell ref="J274:J281"/>
    <mergeCell ref="J293:J299"/>
    <mergeCell ref="I293:I299"/>
    <mergeCell ref="H274:H281"/>
    <mergeCell ref="F274:F281"/>
    <mergeCell ref="L318:L319"/>
    <mergeCell ref="L301:L304"/>
    <mergeCell ref="L293:L299"/>
    <mergeCell ref="M301:M304"/>
    <mergeCell ref="H270:H272"/>
    <mergeCell ref="M293:M299"/>
    <mergeCell ref="N293:N299"/>
    <mergeCell ref="L375:L376"/>
    <mergeCell ref="H364:H366"/>
    <mergeCell ref="A378:A379"/>
    <mergeCell ref="A380:A381"/>
    <mergeCell ref="A352:A353"/>
    <mergeCell ref="E364:E366"/>
    <mergeCell ref="E372:E373"/>
    <mergeCell ref="H372:H373"/>
    <mergeCell ref="F364:F366"/>
    <mergeCell ref="F372:F373"/>
    <mergeCell ref="A364:A367"/>
    <mergeCell ref="B372:B373"/>
    <mergeCell ref="A368:A369"/>
    <mergeCell ref="B364:B366"/>
    <mergeCell ref="B349:B350"/>
    <mergeCell ref="L349:L350"/>
    <mergeCell ref="H349:H350"/>
    <mergeCell ref="I349:I350"/>
    <mergeCell ref="K349:K350"/>
    <mergeCell ref="O217:O220"/>
    <mergeCell ref="N228:N229"/>
    <mergeCell ref="M264:M268"/>
    <mergeCell ref="N264:N268"/>
    <mergeCell ref="N245:N248"/>
    <mergeCell ref="O264:O268"/>
    <mergeCell ref="N258:N262"/>
    <mergeCell ref="O245:O248"/>
    <mergeCell ref="M258:M262"/>
    <mergeCell ref="O173:O176"/>
    <mergeCell ref="N188:N190"/>
    <mergeCell ref="O188:O190"/>
    <mergeCell ref="N178:N182"/>
    <mergeCell ref="O184:O186"/>
    <mergeCell ref="N184:N186"/>
    <mergeCell ref="N173:N176"/>
    <mergeCell ref="O197:O201"/>
    <mergeCell ref="O192:O195"/>
    <mergeCell ref="O258:O262"/>
    <mergeCell ref="Q147:Q148"/>
    <mergeCell ref="O161:O165"/>
    <mergeCell ref="P167:P171"/>
    <mergeCell ref="Q167:Q171"/>
    <mergeCell ref="O139:O141"/>
    <mergeCell ref="O178:O182"/>
    <mergeCell ref="O150:O153"/>
    <mergeCell ref="O203:O205"/>
    <mergeCell ref="N192:N195"/>
    <mergeCell ref="N197:N201"/>
    <mergeCell ref="P99:P104"/>
    <mergeCell ref="Q127:Q130"/>
    <mergeCell ref="Q114:Q119"/>
    <mergeCell ref="Q123:Q125"/>
    <mergeCell ref="O143:O145"/>
    <mergeCell ref="Q132:Q135"/>
    <mergeCell ref="Q143:Q145"/>
    <mergeCell ref="Q197:Q201"/>
    <mergeCell ref="N203:N205"/>
    <mergeCell ref="P203:P205"/>
    <mergeCell ref="M270:M272"/>
    <mergeCell ref="M241:M243"/>
    <mergeCell ref="L258:L262"/>
    <mergeCell ref="M209:M210"/>
    <mergeCell ref="M231:M239"/>
    <mergeCell ref="L217:L220"/>
    <mergeCell ref="L231:L239"/>
    <mergeCell ref="M228:M229"/>
    <mergeCell ref="M217:M220"/>
    <mergeCell ref="L222:L226"/>
    <mergeCell ref="L250:L256"/>
    <mergeCell ref="O56:O61"/>
    <mergeCell ref="O47:O50"/>
    <mergeCell ref="O52:O54"/>
    <mergeCell ref="O127:O130"/>
    <mergeCell ref="O123:O125"/>
    <mergeCell ref="O114:O119"/>
    <mergeCell ref="O212:O215"/>
    <mergeCell ref="N56:N61"/>
    <mergeCell ref="O63:O65"/>
    <mergeCell ref="O67:O68"/>
    <mergeCell ref="O70:O72"/>
    <mergeCell ref="O74:O78"/>
    <mergeCell ref="O86:O88"/>
    <mergeCell ref="O82:O84"/>
    <mergeCell ref="O99:O104"/>
    <mergeCell ref="O92:O97"/>
    <mergeCell ref="O228:O229"/>
    <mergeCell ref="N209:N210"/>
    <mergeCell ref="N217:N220"/>
    <mergeCell ref="N212:N215"/>
    <mergeCell ref="O209:O210"/>
    <mergeCell ref="K222:K226"/>
    <mergeCell ref="K241:K243"/>
    <mergeCell ref="I250:I256"/>
    <mergeCell ref="J250:J256"/>
    <mergeCell ref="J241:J243"/>
    <mergeCell ref="I241:I243"/>
    <mergeCell ref="J161:J165"/>
    <mergeCell ref="N74:N78"/>
    <mergeCell ref="N99:N104"/>
    <mergeCell ref="M86:M88"/>
    <mergeCell ref="N86:N88"/>
    <mergeCell ref="M92:M97"/>
    <mergeCell ref="N127:N130"/>
    <mergeCell ref="N82:N84"/>
    <mergeCell ref="M114:M119"/>
    <mergeCell ref="M127:M130"/>
    <mergeCell ref="N114:N119"/>
    <mergeCell ref="M178:M182"/>
    <mergeCell ref="K250:K256"/>
    <mergeCell ref="M74:M78"/>
    <mergeCell ref="L178:L182"/>
    <mergeCell ref="M222:M226"/>
    <mergeCell ref="L132:L135"/>
    <mergeCell ref="L228:L229"/>
    <mergeCell ref="I167:I171"/>
    <mergeCell ref="K184:K186"/>
    <mergeCell ref="K178:K182"/>
    <mergeCell ref="J167:J171"/>
    <mergeCell ref="I178:I182"/>
    <mergeCell ref="J178:J182"/>
    <mergeCell ref="J173:J176"/>
    <mergeCell ref="I173:I176"/>
    <mergeCell ref="K167:K171"/>
    <mergeCell ref="L167:L171"/>
    <mergeCell ref="L188:L190"/>
    <mergeCell ref="L184:L186"/>
    <mergeCell ref="M188:M190"/>
    <mergeCell ref="M173:M176"/>
    <mergeCell ref="L173:L176"/>
    <mergeCell ref="K217:K220"/>
    <mergeCell ref="J217:J220"/>
    <mergeCell ref="J188:J190"/>
    <mergeCell ref="I188:I190"/>
    <mergeCell ref="I192:I195"/>
    <mergeCell ref="I197:I201"/>
    <mergeCell ref="K188:K190"/>
    <mergeCell ref="J197:J201"/>
    <mergeCell ref="M150:M153"/>
    <mergeCell ref="I161:I165"/>
    <mergeCell ref="F155:F159"/>
    <mergeCell ref="K127:K130"/>
    <mergeCell ref="L147:L148"/>
    <mergeCell ref="K150:K153"/>
    <mergeCell ref="K155:K159"/>
    <mergeCell ref="M167:M171"/>
    <mergeCell ref="K212:K215"/>
    <mergeCell ref="K209:K210"/>
    <mergeCell ref="M212:M215"/>
    <mergeCell ref="M192:M195"/>
    <mergeCell ref="L212:L215"/>
    <mergeCell ref="L203:L205"/>
    <mergeCell ref="M197:M201"/>
    <mergeCell ref="M203:M205"/>
    <mergeCell ref="K197:K201"/>
    <mergeCell ref="K132:K135"/>
    <mergeCell ref="K161:K165"/>
    <mergeCell ref="K139:K141"/>
    <mergeCell ref="M147:M148"/>
    <mergeCell ref="J150:J153"/>
    <mergeCell ref="J155:J159"/>
    <mergeCell ref="J184:J186"/>
    <mergeCell ref="J209:J210"/>
    <mergeCell ref="J192:J195"/>
    <mergeCell ref="K192:K195"/>
    <mergeCell ref="L209:L210"/>
    <mergeCell ref="L192:L195"/>
    <mergeCell ref="K203:K205"/>
    <mergeCell ref="L197:L201"/>
    <mergeCell ref="M184:M186"/>
    <mergeCell ref="K173:K176"/>
    <mergeCell ref="F161:F165"/>
    <mergeCell ref="B147:B148"/>
    <mergeCell ref="B150:B153"/>
    <mergeCell ref="H139:H141"/>
    <mergeCell ref="L155:L159"/>
    <mergeCell ref="L161:L165"/>
    <mergeCell ref="S74:S78"/>
    <mergeCell ref="S63:S65"/>
    <mergeCell ref="S52:S54"/>
    <mergeCell ref="S56:S61"/>
    <mergeCell ref="S67:S68"/>
    <mergeCell ref="A1:Q1"/>
    <mergeCell ref="A2:Q2"/>
    <mergeCell ref="A3:Q3"/>
    <mergeCell ref="L74:L78"/>
    <mergeCell ref="J36:J37"/>
    <mergeCell ref="K63:K65"/>
    <mergeCell ref="F47:F50"/>
    <mergeCell ref="H47:H50"/>
    <mergeCell ref="H63:H65"/>
    <mergeCell ref="H67:H68"/>
    <mergeCell ref="B56:B61"/>
    <mergeCell ref="J67:J68"/>
    <mergeCell ref="F67:F68"/>
    <mergeCell ref="F56:F61"/>
    <mergeCell ref="F63:F65"/>
    <mergeCell ref="B67:B68"/>
    <mergeCell ref="B63:B65"/>
    <mergeCell ref="E56:E61"/>
    <mergeCell ref="E63:E65"/>
    <mergeCell ref="P74:P78"/>
    <mergeCell ref="P47:P50"/>
    <mergeCell ref="P22:P24"/>
    <mergeCell ref="R12:R15"/>
    <mergeCell ref="R17:R20"/>
    <mergeCell ref="P5:P7"/>
    <mergeCell ref="P9:P10"/>
    <mergeCell ref="R5:R7"/>
    <mergeCell ref="S5:S7"/>
    <mergeCell ref="S9:S10"/>
    <mergeCell ref="S12:S15"/>
    <mergeCell ref="S17:S20"/>
    <mergeCell ref="S22:S24"/>
    <mergeCell ref="S26:S30"/>
    <mergeCell ref="S47:S50"/>
    <mergeCell ref="S70:S72"/>
    <mergeCell ref="S32:S34"/>
    <mergeCell ref="S36:S37"/>
    <mergeCell ref="S42:S45"/>
    <mergeCell ref="S39:S40"/>
    <mergeCell ref="R56:R61"/>
    <mergeCell ref="Q70:Q72"/>
    <mergeCell ref="R63:R65"/>
    <mergeCell ref="R67:R68"/>
    <mergeCell ref="R70:R72"/>
    <mergeCell ref="Q63:Q65"/>
    <mergeCell ref="Q67:Q68"/>
    <mergeCell ref="Q56:Q61"/>
    <mergeCell ref="R9:R10"/>
    <mergeCell ref="Q12:Q15"/>
    <mergeCell ref="Q17:Q20"/>
    <mergeCell ref="Q42:Q45"/>
    <mergeCell ref="Q47:Q50"/>
    <mergeCell ref="Q36:Q37"/>
    <mergeCell ref="Q22:Q24"/>
    <mergeCell ref="Q52:Q54"/>
    <mergeCell ref="Q39:Q40"/>
    <mergeCell ref="Q26:Q30"/>
    <mergeCell ref="Q32:Q34"/>
    <mergeCell ref="S143:S145"/>
    <mergeCell ref="S123:S125"/>
    <mergeCell ref="S127:S130"/>
    <mergeCell ref="S132:S135"/>
    <mergeCell ref="S139:S141"/>
    <mergeCell ref="M123:M125"/>
    <mergeCell ref="M132:M135"/>
    <mergeCell ref="P123:P125"/>
    <mergeCell ref="P127:P130"/>
    <mergeCell ref="O132:O135"/>
    <mergeCell ref="S82:S84"/>
    <mergeCell ref="S86:S88"/>
    <mergeCell ref="S92:S97"/>
    <mergeCell ref="S99:S104"/>
    <mergeCell ref="S108:S112"/>
    <mergeCell ref="S114:S119"/>
    <mergeCell ref="R86:R88"/>
    <mergeCell ref="R92:R97"/>
    <mergeCell ref="R99:R104"/>
    <mergeCell ref="R108:R112"/>
    <mergeCell ref="R114:R119"/>
    <mergeCell ref="P86:P88"/>
    <mergeCell ref="Q82:Q84"/>
    <mergeCell ref="P82:P84"/>
    <mergeCell ref="Q86:Q88"/>
    <mergeCell ref="Q99:Q104"/>
    <mergeCell ref="Q92:Q97"/>
    <mergeCell ref="P92:P97"/>
    <mergeCell ref="R139:R141"/>
    <mergeCell ref="R143:R145"/>
    <mergeCell ref="N92:N97"/>
    <mergeCell ref="M99:M104"/>
    <mergeCell ref="R123:R125"/>
    <mergeCell ref="I108:I112"/>
    <mergeCell ref="I114:I119"/>
    <mergeCell ref="N108:N112"/>
    <mergeCell ref="I123:I125"/>
    <mergeCell ref="M108:M112"/>
    <mergeCell ref="N123:N125"/>
    <mergeCell ref="O108:O112"/>
    <mergeCell ref="J123:J125"/>
    <mergeCell ref="K108:K112"/>
    <mergeCell ref="A108:A113"/>
    <mergeCell ref="A137:A138"/>
    <mergeCell ref="A114:A120"/>
    <mergeCell ref="A121:A122"/>
    <mergeCell ref="A127:A131"/>
    <mergeCell ref="F123:F125"/>
    <mergeCell ref="B132:B135"/>
    <mergeCell ref="F108:F112"/>
    <mergeCell ref="F114:F119"/>
    <mergeCell ref="R127:R130"/>
    <mergeCell ref="R132:R135"/>
    <mergeCell ref="H132:H135"/>
    <mergeCell ref="J114:J119"/>
    <mergeCell ref="Q139:Q141"/>
    <mergeCell ref="K114:K119"/>
    <mergeCell ref="K92:K97"/>
    <mergeCell ref="B92:B97"/>
    <mergeCell ref="B86:B88"/>
    <mergeCell ref="A92:A98"/>
    <mergeCell ref="A106:A107"/>
    <mergeCell ref="B99:B104"/>
    <mergeCell ref="A70:A73"/>
    <mergeCell ref="E92:E97"/>
    <mergeCell ref="A63:A66"/>
    <mergeCell ref="A67:A69"/>
    <mergeCell ref="A86:A89"/>
    <mergeCell ref="A90:A91"/>
    <mergeCell ref="A74:A79"/>
    <mergeCell ref="A80:A81"/>
    <mergeCell ref="A82:A85"/>
    <mergeCell ref="F74:F78"/>
    <mergeCell ref="F86:F88"/>
    <mergeCell ref="F82:F84"/>
    <mergeCell ref="F99:F104"/>
    <mergeCell ref="A99:A105"/>
    <mergeCell ref="E99:E104"/>
    <mergeCell ref="F92:F97"/>
    <mergeCell ref="B74:B78"/>
    <mergeCell ref="E70:E72"/>
    <mergeCell ref="E86:E88"/>
    <mergeCell ref="P217:P220"/>
    <mergeCell ref="P209:P210"/>
    <mergeCell ref="Q203:Q205"/>
    <mergeCell ref="Q217:Q220"/>
    <mergeCell ref="P212:P215"/>
    <mergeCell ref="N155:N159"/>
    <mergeCell ref="O147:O148"/>
    <mergeCell ref="S192:S195"/>
    <mergeCell ref="S173:S176"/>
    <mergeCell ref="S178:S182"/>
    <mergeCell ref="S184:S186"/>
    <mergeCell ref="S188:S190"/>
    <mergeCell ref="P173:P176"/>
    <mergeCell ref="P184:P186"/>
    <mergeCell ref="Q192:Q195"/>
    <mergeCell ref="P178:P182"/>
    <mergeCell ref="Q173:Q176"/>
    <mergeCell ref="S147:S148"/>
    <mergeCell ref="R155:R159"/>
    <mergeCell ref="R150:R153"/>
    <mergeCell ref="S155:S159"/>
    <mergeCell ref="S167:S171"/>
    <mergeCell ref="S150:S153"/>
    <mergeCell ref="R167:R171"/>
    <mergeCell ref="Q161:Q165"/>
    <mergeCell ref="P161:P165"/>
    <mergeCell ref="N150:N153"/>
    <mergeCell ref="N161:N165"/>
    <mergeCell ref="O167:O171"/>
    <mergeCell ref="O155:O159"/>
    <mergeCell ref="S161:S165"/>
    <mergeCell ref="Q150:Q153"/>
    <mergeCell ref="A17:A21"/>
    <mergeCell ref="J17:J20"/>
    <mergeCell ref="J26:J30"/>
    <mergeCell ref="I26:I30"/>
    <mergeCell ref="J22:J24"/>
    <mergeCell ref="I22:I24"/>
    <mergeCell ref="I17:I20"/>
    <mergeCell ref="B17:B20"/>
    <mergeCell ref="B22:B24"/>
    <mergeCell ref="F22:F24"/>
    <mergeCell ref="N70:N72"/>
    <mergeCell ref="L56:L61"/>
    <mergeCell ref="P197:P201"/>
    <mergeCell ref="P188:P190"/>
    <mergeCell ref="P192:P195"/>
    <mergeCell ref="J42:J45"/>
    <mergeCell ref="K42:K45"/>
    <mergeCell ref="J47:J50"/>
    <mergeCell ref="J52:J54"/>
    <mergeCell ref="J63:J65"/>
    <mergeCell ref="K123:K125"/>
    <mergeCell ref="L52:L54"/>
    <mergeCell ref="L150:L153"/>
    <mergeCell ref="M161:M165"/>
    <mergeCell ref="A139:A142"/>
    <mergeCell ref="A132:A136"/>
    <mergeCell ref="A123:A126"/>
    <mergeCell ref="J132:J135"/>
    <mergeCell ref="J127:J130"/>
    <mergeCell ref="H123:H125"/>
    <mergeCell ref="H127:H130"/>
    <mergeCell ref="I127:I130"/>
    <mergeCell ref="A47:A51"/>
    <mergeCell ref="A52:A55"/>
    <mergeCell ref="A56:A62"/>
    <mergeCell ref="J39:J40"/>
    <mergeCell ref="I42:I45"/>
    <mergeCell ref="I39:I40"/>
    <mergeCell ref="H56:H61"/>
    <mergeCell ref="A42:A46"/>
    <mergeCell ref="I47:I50"/>
    <mergeCell ref="A32:A35"/>
    <mergeCell ref="A36:A38"/>
    <mergeCell ref="B26:B30"/>
    <mergeCell ref="A22:A25"/>
    <mergeCell ref="A26:A31"/>
    <mergeCell ref="A39:A41"/>
    <mergeCell ref="B39:B40"/>
    <mergeCell ref="H32:H34"/>
    <mergeCell ref="E42:E45"/>
    <mergeCell ref="B36:B37"/>
    <mergeCell ref="F39:F40"/>
    <mergeCell ref="H39:H40"/>
    <mergeCell ref="B32:B34"/>
    <mergeCell ref="E36:E37"/>
    <mergeCell ref="E39:E40"/>
    <mergeCell ref="O5:O7"/>
    <mergeCell ref="L5:L7"/>
    <mergeCell ref="O9:O10"/>
    <mergeCell ref="K9:K10"/>
    <mergeCell ref="F17:F20"/>
    <mergeCell ref="M5:M7"/>
    <mergeCell ref="G5:G7"/>
    <mergeCell ref="H12:H15"/>
    <mergeCell ref="F5:F7"/>
    <mergeCell ref="H17:H20"/>
    <mergeCell ref="L12:L15"/>
    <mergeCell ref="F26:F30"/>
    <mergeCell ref="F32:F34"/>
    <mergeCell ref="F36:F37"/>
    <mergeCell ref="H26:H30"/>
    <mergeCell ref="K36:K37"/>
    <mergeCell ref="H22:H24"/>
    <mergeCell ref="K17:K20"/>
    <mergeCell ref="K32:K34"/>
    <mergeCell ref="I36:I37"/>
    <mergeCell ref="H36:H37"/>
    <mergeCell ref="I32:I34"/>
    <mergeCell ref="I5:K5"/>
    <mergeCell ref="J9:J10"/>
    <mergeCell ref="H9:H10"/>
    <mergeCell ref="F12:F15"/>
    <mergeCell ref="K12:K15"/>
    <mergeCell ref="I12:I15"/>
    <mergeCell ref="J12:J15"/>
    <mergeCell ref="L17:L20"/>
    <mergeCell ref="L22:L24"/>
    <mergeCell ref="L32:L34"/>
    <mergeCell ref="A5:A7"/>
    <mergeCell ref="A12:A16"/>
    <mergeCell ref="B12:B15"/>
    <mergeCell ref="B9:B10"/>
    <mergeCell ref="A8:C8"/>
    <mergeCell ref="B5:C7"/>
    <mergeCell ref="A9:A11"/>
    <mergeCell ref="D5:D7"/>
    <mergeCell ref="N5:N7"/>
    <mergeCell ref="I9:I10"/>
    <mergeCell ref="L9:L10"/>
    <mergeCell ref="E5:E7"/>
    <mergeCell ref="E9:E10"/>
    <mergeCell ref="M9:M10"/>
    <mergeCell ref="N9:N10"/>
    <mergeCell ref="F9:F10"/>
    <mergeCell ref="H5:H7"/>
    <mergeCell ref="E12:E15"/>
    <mergeCell ref="I274:I281"/>
    <mergeCell ref="J139:J141"/>
    <mergeCell ref="I132:I135"/>
    <mergeCell ref="N132:N135"/>
    <mergeCell ref="M139:M141"/>
    <mergeCell ref="N139:N141"/>
    <mergeCell ref="B139:B141"/>
    <mergeCell ref="B143:B145"/>
    <mergeCell ref="B108:B112"/>
    <mergeCell ref="B114:B119"/>
    <mergeCell ref="B123:B125"/>
    <mergeCell ref="B127:B130"/>
    <mergeCell ref="B42:B45"/>
    <mergeCell ref="B52:B54"/>
    <mergeCell ref="B47:B50"/>
    <mergeCell ref="E47:E50"/>
    <mergeCell ref="H86:H88"/>
    <mergeCell ref="F70:F72"/>
    <mergeCell ref="B70:B72"/>
    <mergeCell ref="E74:E78"/>
    <mergeCell ref="B82:B84"/>
    <mergeCell ref="E82:E84"/>
    <mergeCell ref="H70:H72"/>
    <mergeCell ref="I67:I68"/>
    <mergeCell ref="E52:E54"/>
    <mergeCell ref="F42:F45"/>
    <mergeCell ref="E67:E68"/>
    <mergeCell ref="F52:F54"/>
    <mergeCell ref="F241:F243"/>
    <mergeCell ref="B270:B272"/>
    <mergeCell ref="F270:F272"/>
    <mergeCell ref="K47:K50"/>
    <mergeCell ref="H228:H229"/>
    <mergeCell ref="H241:H243"/>
    <mergeCell ref="F264:F268"/>
    <mergeCell ref="J258:J262"/>
    <mergeCell ref="J270:J272"/>
    <mergeCell ref="I212:I215"/>
    <mergeCell ref="I228:I229"/>
    <mergeCell ref="I270:I272"/>
    <mergeCell ref="F283:F288"/>
    <mergeCell ref="A143:A146"/>
    <mergeCell ref="A167:A172"/>
    <mergeCell ref="A173:A177"/>
    <mergeCell ref="A184:A187"/>
    <mergeCell ref="A147:A149"/>
    <mergeCell ref="B173:B176"/>
    <mergeCell ref="A150:A154"/>
    <mergeCell ref="A155:A160"/>
    <mergeCell ref="A161:A166"/>
    <mergeCell ref="B155:B159"/>
    <mergeCell ref="B212:B215"/>
    <mergeCell ref="B197:B201"/>
    <mergeCell ref="B184:B186"/>
    <mergeCell ref="B188:B190"/>
    <mergeCell ref="B178:B182"/>
    <mergeCell ref="B192:B195"/>
    <mergeCell ref="B161:B165"/>
    <mergeCell ref="B167:B171"/>
    <mergeCell ref="E197:E201"/>
    <mergeCell ref="E203:E205"/>
    <mergeCell ref="H147:H148"/>
    <mergeCell ref="H143:H145"/>
    <mergeCell ref="F173:F176"/>
    <mergeCell ref="O293:O299"/>
    <mergeCell ref="N318:N319"/>
    <mergeCell ref="P301:P304"/>
    <mergeCell ref="J283:J288"/>
    <mergeCell ref="K283:K288"/>
    <mergeCell ref="K290:K291"/>
    <mergeCell ref="J290:J291"/>
    <mergeCell ref="H290:H291"/>
    <mergeCell ref="I290:I291"/>
    <mergeCell ref="I283:I288"/>
    <mergeCell ref="H283:H288"/>
    <mergeCell ref="N301:N304"/>
    <mergeCell ref="O301:O304"/>
    <mergeCell ref="L241:L243"/>
    <mergeCell ref="K231:K239"/>
    <mergeCell ref="K245:K248"/>
    <mergeCell ref="P264:P268"/>
    <mergeCell ref="N270:N272"/>
    <mergeCell ref="O270:O272"/>
    <mergeCell ref="K270:K272"/>
    <mergeCell ref="L264:L268"/>
    <mergeCell ref="L270:L272"/>
    <mergeCell ref="K264:K268"/>
    <mergeCell ref="K258:K262"/>
    <mergeCell ref="I258:I262"/>
    <mergeCell ref="J264:J268"/>
    <mergeCell ref="J245:J248"/>
    <mergeCell ref="L283:L288"/>
    <mergeCell ref="L274:L281"/>
    <mergeCell ref="M283:M288"/>
    <mergeCell ref="K274:K281"/>
    <mergeCell ref="M274:M281"/>
    <mergeCell ref="Q264:Q268"/>
    <mergeCell ref="P258:P262"/>
    <mergeCell ref="L290:L291"/>
    <mergeCell ref="N283:N288"/>
    <mergeCell ref="P274:P281"/>
    <mergeCell ref="P283:P288"/>
    <mergeCell ref="O274:O281"/>
    <mergeCell ref="N274:N281"/>
    <mergeCell ref="O283:O288"/>
    <mergeCell ref="P270:P272"/>
    <mergeCell ref="M290:M291"/>
    <mergeCell ref="P290:P291"/>
    <mergeCell ref="N290:N291"/>
    <mergeCell ref="O290:O291"/>
    <mergeCell ref="Q258:Q262"/>
    <mergeCell ref="A192:A196"/>
    <mergeCell ref="A197:A202"/>
    <mergeCell ref="A203:A206"/>
    <mergeCell ref="A217:A221"/>
    <mergeCell ref="A212:A216"/>
    <mergeCell ref="A290:A292"/>
    <mergeCell ref="A264:A269"/>
    <mergeCell ref="Q245:Q248"/>
    <mergeCell ref="Q274:Q281"/>
    <mergeCell ref="Q283:Q288"/>
    <mergeCell ref="A231:A240"/>
    <mergeCell ref="B217:B220"/>
    <mergeCell ref="A274:A282"/>
    <mergeCell ref="E231:E239"/>
    <mergeCell ref="E212:E215"/>
    <mergeCell ref="A250:A257"/>
    <mergeCell ref="E274:E281"/>
    <mergeCell ref="S228:S229"/>
    <mergeCell ref="S250:S256"/>
    <mergeCell ref="M245:M248"/>
    <mergeCell ref="P245:P248"/>
    <mergeCell ref="N250:N256"/>
    <mergeCell ref="M250:M256"/>
    <mergeCell ref="R250:R256"/>
    <mergeCell ref="P250:P256"/>
    <mergeCell ref="O250:O256"/>
    <mergeCell ref="R241:R243"/>
    <mergeCell ref="P222:P226"/>
    <mergeCell ref="P241:P243"/>
    <mergeCell ref="P228:P229"/>
    <mergeCell ref="Q228:Q229"/>
    <mergeCell ref="Q241:Q243"/>
    <mergeCell ref="N231:N239"/>
    <mergeCell ref="O222:O226"/>
    <mergeCell ref="P231:P239"/>
    <mergeCell ref="N241:N243"/>
    <mergeCell ref="N222:N226"/>
    <mergeCell ref="O241:O243"/>
    <mergeCell ref="O231:O239"/>
    <mergeCell ref="A321:A322"/>
    <mergeCell ref="A318:A320"/>
    <mergeCell ref="B318:B319"/>
    <mergeCell ref="A228:A230"/>
    <mergeCell ref="A241:A244"/>
    <mergeCell ref="A316:A317"/>
    <mergeCell ref="A258:A263"/>
    <mergeCell ref="A283:A289"/>
    <mergeCell ref="A222:A227"/>
    <mergeCell ref="B231:B239"/>
    <mergeCell ref="B241:B243"/>
    <mergeCell ref="B228:B229"/>
    <mergeCell ref="B250:B256"/>
    <mergeCell ref="B264:B268"/>
    <mergeCell ref="A314:A315"/>
    <mergeCell ref="O32:O34"/>
    <mergeCell ref="M36:M37"/>
    <mergeCell ref="O36:O37"/>
    <mergeCell ref="L36:L37"/>
    <mergeCell ref="N36:N37"/>
    <mergeCell ref="N32:N34"/>
    <mergeCell ref="M32:M34"/>
    <mergeCell ref="J32:J34"/>
    <mergeCell ref="A293:A300"/>
    <mergeCell ref="B301:B304"/>
    <mergeCell ref="A301:A305"/>
    <mergeCell ref="A312:A313"/>
    <mergeCell ref="F301:F304"/>
    <mergeCell ref="B258:B262"/>
    <mergeCell ref="B293:B299"/>
    <mergeCell ref="E264:E268"/>
    <mergeCell ref="B290:B291"/>
    <mergeCell ref="B283:B288"/>
    <mergeCell ref="A188:A191"/>
    <mergeCell ref="A207:A208"/>
    <mergeCell ref="A245:A249"/>
    <mergeCell ref="B274:B281"/>
    <mergeCell ref="B203:B205"/>
    <mergeCell ref="J74:J78"/>
    <mergeCell ref="K70:K72"/>
    <mergeCell ref="J56:J61"/>
    <mergeCell ref="A209:A211"/>
    <mergeCell ref="B209:B210"/>
    <mergeCell ref="B222:B226"/>
    <mergeCell ref="B245:B248"/>
    <mergeCell ref="H74:H78"/>
    <mergeCell ref="O12:O15"/>
    <mergeCell ref="M26:M30"/>
    <mergeCell ref="M17:M20"/>
    <mergeCell ref="M22:M24"/>
    <mergeCell ref="O17:O20"/>
    <mergeCell ref="M12:M15"/>
    <mergeCell ref="N12:N15"/>
    <mergeCell ref="O22:O24"/>
    <mergeCell ref="I56:I61"/>
    <mergeCell ref="L42:L45"/>
    <mergeCell ref="M52:M54"/>
    <mergeCell ref="L39:L40"/>
    <mergeCell ref="M42:M45"/>
    <mergeCell ref="L26:L30"/>
    <mergeCell ref="O42:O45"/>
    <mergeCell ref="N47:N50"/>
    <mergeCell ref="N52:N54"/>
    <mergeCell ref="I245:I248"/>
    <mergeCell ref="O39:O40"/>
    <mergeCell ref="L47:L50"/>
    <mergeCell ref="K22:K24"/>
    <mergeCell ref="K26:K30"/>
    <mergeCell ref="L67:L68"/>
    <mergeCell ref="L63:L65"/>
    <mergeCell ref="L70:L72"/>
    <mergeCell ref="O26:O30"/>
    <mergeCell ref="N26:N30"/>
    <mergeCell ref="N22:N24"/>
    <mergeCell ref="N17:N20"/>
    <mergeCell ref="H42:H45"/>
    <mergeCell ref="I52:I54"/>
    <mergeCell ref="H52:H54"/>
    <mergeCell ref="M70:M72"/>
    <mergeCell ref="N67:N68"/>
    <mergeCell ref="M67:M68"/>
    <mergeCell ref="M39:M40"/>
    <mergeCell ref="N39:N40"/>
    <mergeCell ref="M63:M65"/>
    <mergeCell ref="M56:M61"/>
    <mergeCell ref="N63:N65"/>
    <mergeCell ref="M47:M50"/>
    <mergeCell ref="N42:N45"/>
    <mergeCell ref="K52:K54"/>
    <mergeCell ref="K39:K40"/>
    <mergeCell ref="I231:I239"/>
    <mergeCell ref="I217:I220"/>
    <mergeCell ref="I184:I186"/>
    <mergeCell ref="J228:J229"/>
    <mergeCell ref="K228:K229"/>
    <mergeCell ref="J231:J239"/>
    <mergeCell ref="I209:I210"/>
    <mergeCell ref="I203:I205"/>
    <mergeCell ref="J203:J205"/>
    <mergeCell ref="N143:N145"/>
    <mergeCell ref="M143:M145"/>
    <mergeCell ref="M82:M84"/>
    <mergeCell ref="K74:K78"/>
    <mergeCell ref="I70:I72"/>
    <mergeCell ref="J70:J72"/>
    <mergeCell ref="K56:K61"/>
    <mergeCell ref="I74:I78"/>
    <mergeCell ref="I143:I145"/>
    <mergeCell ref="I63:I65"/>
    <mergeCell ref="K67:K68"/>
    <mergeCell ref="I139:I141"/>
    <mergeCell ref="K147:K148"/>
    <mergeCell ref="J212:J215"/>
    <mergeCell ref="I222:I226"/>
    <mergeCell ref="J222:J226"/>
    <mergeCell ref="N167:N171"/>
    <mergeCell ref="M155:M159"/>
    <mergeCell ref="L143:L145"/>
    <mergeCell ref="N147:N148"/>
    <mergeCell ref="J143:J145"/>
    <mergeCell ref="L139:L141"/>
    <mergeCell ref="J99:J104"/>
    <mergeCell ref="K86:K88"/>
    <mergeCell ref="H82:H84"/>
    <mergeCell ref="H108:H112"/>
    <mergeCell ref="H114:H119"/>
    <mergeCell ref="L82:L84"/>
    <mergeCell ref="L86:L88"/>
    <mergeCell ref="L127:L130"/>
    <mergeCell ref="L108:L112"/>
    <mergeCell ref="L123:L125"/>
    <mergeCell ref="H150:H153"/>
    <mergeCell ref="H155:H159"/>
    <mergeCell ref="J86:J88"/>
    <mergeCell ref="J92:J97"/>
    <mergeCell ref="J82:J84"/>
    <mergeCell ref="I86:I88"/>
    <mergeCell ref="I92:I97"/>
    <mergeCell ref="I82:I84"/>
    <mergeCell ref="K82:K84"/>
    <mergeCell ref="I147:I148"/>
    <mergeCell ref="J147:J148"/>
    <mergeCell ref="I150:I153"/>
    <mergeCell ref="I155:I159"/>
    <mergeCell ref="H99:H104"/>
    <mergeCell ref="I99:I104"/>
    <mergeCell ref="L92:L97"/>
    <mergeCell ref="L99:L104"/>
    <mergeCell ref="H92:H97"/>
    <mergeCell ref="L114:L119"/>
    <mergeCell ref="K99:K104"/>
    <mergeCell ref="J108:J112"/>
    <mergeCell ref="K143:K145"/>
    <mergeCell ref="H264:H268"/>
    <mergeCell ref="H245:H248"/>
    <mergeCell ref="H250:H256"/>
    <mergeCell ref="H293:H299"/>
    <mergeCell ref="A399:A400"/>
    <mergeCell ref="A354:A355"/>
    <mergeCell ref="A356:A357"/>
    <mergeCell ref="A372:A374"/>
    <mergeCell ref="A360:A361"/>
    <mergeCell ref="A358:A359"/>
    <mergeCell ref="A370:A371"/>
    <mergeCell ref="A386:A387"/>
    <mergeCell ref="A362:A363"/>
    <mergeCell ref="A384:A385"/>
    <mergeCell ref="Q419:Q420"/>
    <mergeCell ref="O419:O420"/>
    <mergeCell ref="L419:L420"/>
    <mergeCell ref="M419:M420"/>
    <mergeCell ref="N419:N420"/>
    <mergeCell ref="P419:P420"/>
    <mergeCell ref="N364:N366"/>
    <mergeCell ref="I419:I420"/>
    <mergeCell ref="A329:A330"/>
    <mergeCell ref="A270:A273"/>
    <mergeCell ref="L245:L248"/>
    <mergeCell ref="Q293:Q299"/>
    <mergeCell ref="Q301:Q304"/>
    <mergeCell ref="Q318:Q319"/>
    <mergeCell ref="K293:K299"/>
    <mergeCell ref="P318:P319"/>
    <mergeCell ref="P293:P299"/>
    <mergeCell ref="E323:E327"/>
    <mergeCell ref="E17:E20"/>
    <mergeCell ref="E22:E24"/>
    <mergeCell ref="E26:E30"/>
    <mergeCell ref="E32:E34"/>
    <mergeCell ref="H188:H190"/>
    <mergeCell ref="E258:E262"/>
    <mergeCell ref="E217:E220"/>
    <mergeCell ref="E228:E229"/>
    <mergeCell ref="H212:H215"/>
    <mergeCell ref="H222:H226"/>
    <mergeCell ref="H184:H186"/>
    <mergeCell ref="E155:E159"/>
    <mergeCell ref="E161:E165"/>
    <mergeCell ref="E167:E171"/>
    <mergeCell ref="H173:H176"/>
    <mergeCell ref="H161:H165"/>
    <mergeCell ref="H167:H171"/>
    <mergeCell ref="H178:H182"/>
    <mergeCell ref="E184:E186"/>
    <mergeCell ref="E178:E182"/>
    <mergeCell ref="E209:E210"/>
    <mergeCell ref="E222:E226"/>
    <mergeCell ref="H192:H195"/>
    <mergeCell ref="H209:H210"/>
    <mergeCell ref="H197:H201"/>
    <mergeCell ref="H217:H220"/>
    <mergeCell ref="H203:H205"/>
    <mergeCell ref="F217:F220"/>
    <mergeCell ref="F222:F226"/>
    <mergeCell ref="E192:E195"/>
    <mergeCell ref="H231:H239"/>
    <mergeCell ref="H258:H262"/>
    <mergeCell ref="E301:E304"/>
    <mergeCell ref="E241:E243"/>
    <mergeCell ref="E245:E248"/>
    <mergeCell ref="E250:E256"/>
    <mergeCell ref="E318:E319"/>
    <mergeCell ref="E293:E299"/>
    <mergeCell ref="E283:E288"/>
    <mergeCell ref="E270:E272"/>
    <mergeCell ref="E173:E176"/>
    <mergeCell ref="E127:E130"/>
    <mergeCell ref="E132:E135"/>
    <mergeCell ref="E139:E141"/>
    <mergeCell ref="E108:E112"/>
    <mergeCell ref="E114:E119"/>
    <mergeCell ref="E123:E125"/>
    <mergeCell ref="E150:E153"/>
    <mergeCell ref="E188:E190"/>
    <mergeCell ref="E143:E145"/>
    <mergeCell ref="E147:E148"/>
    <mergeCell ref="E290:E291"/>
  </mergeCells>
  <phoneticPr fontId="0" type="noConversion"/>
  <printOptions horizontalCentered="1"/>
  <pageMargins left="0.25" right="0.25" top="0.25" bottom="0.25" header="0.62" footer="0.25"/>
  <pageSetup paperSize="9" scale="55" orientation="landscape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R182"/>
  <sheetViews>
    <sheetView view="pageBreakPreview" topLeftCell="C1" zoomScale="84" zoomScaleSheetLayoutView="84" workbookViewId="0">
      <pane ySplit="7" topLeftCell="A35" activePane="bottomLeft" state="frozen"/>
      <selection pane="bottomLeft" activeCell="K43" sqref="K43"/>
    </sheetView>
  </sheetViews>
  <sheetFormatPr defaultRowHeight="15" x14ac:dyDescent="0.2"/>
  <cols>
    <col min="1" max="1" width="4.28515625" bestFit="1" customWidth="1"/>
    <col min="2" max="2" width="32.42578125" style="177" customWidth="1"/>
    <col min="3" max="3" width="45.42578125" style="51" customWidth="1"/>
    <col min="4" max="4" width="9.140625" style="71"/>
    <col min="5" max="5" width="12.5703125" style="148" customWidth="1"/>
    <col min="6" max="6" width="23.7109375" style="137" customWidth="1"/>
    <col min="7" max="7" width="15.42578125" customWidth="1"/>
    <col min="8" max="8" width="26.140625" style="137" customWidth="1"/>
    <col min="9" max="9" width="10.140625" style="70" customWidth="1"/>
    <col min="10" max="10" width="10.85546875" style="70" customWidth="1"/>
    <col min="11" max="11" width="11.140625" style="70" customWidth="1"/>
    <col min="12" max="12" width="19.42578125" style="223" customWidth="1"/>
    <col min="13" max="13" width="11" style="148" customWidth="1"/>
    <col min="14" max="14" width="12.42578125" style="148" customWidth="1"/>
    <col min="15" max="15" width="25.140625" style="51" customWidth="1"/>
    <col min="16" max="16" width="20.5703125" style="51" customWidth="1"/>
    <col min="17" max="17" width="28.85546875" style="69" bestFit="1" customWidth="1"/>
    <col min="18" max="19" width="9.140625" style="148"/>
  </cols>
  <sheetData>
    <row r="1" spans="1:252" ht="12.75" x14ac:dyDescent="0.2">
      <c r="A1" s="537" t="s">
        <v>1282</v>
      </c>
      <c r="B1" s="537"/>
      <c r="C1" s="537"/>
      <c r="D1" s="537"/>
      <c r="E1" s="537"/>
      <c r="F1" s="537"/>
      <c r="G1" s="537"/>
      <c r="H1" s="537"/>
      <c r="I1" s="537"/>
      <c r="J1" s="537"/>
      <c r="K1" s="537"/>
      <c r="L1" s="537"/>
      <c r="M1" s="537"/>
      <c r="N1" s="537"/>
      <c r="O1" s="537"/>
      <c r="P1" s="537"/>
      <c r="Q1" s="537"/>
      <c r="R1" s="55"/>
      <c r="S1" s="55"/>
      <c r="T1" s="14"/>
      <c r="U1" s="14"/>
      <c r="V1" s="14"/>
      <c r="W1" s="14"/>
      <c r="X1" s="14"/>
    </row>
    <row r="2" spans="1:252" ht="12.75" x14ac:dyDescent="0.2">
      <c r="A2" s="537" t="s">
        <v>2152</v>
      </c>
      <c r="B2" s="537"/>
      <c r="C2" s="537"/>
      <c r="D2" s="537"/>
      <c r="E2" s="537"/>
      <c r="F2" s="537"/>
      <c r="G2" s="537"/>
      <c r="H2" s="537"/>
      <c r="I2" s="537"/>
      <c r="J2" s="537"/>
      <c r="K2" s="537"/>
      <c r="L2" s="537"/>
      <c r="M2" s="537"/>
      <c r="N2" s="537"/>
      <c r="O2" s="537"/>
      <c r="P2" s="537"/>
      <c r="Q2" s="537"/>
      <c r="R2" s="55"/>
      <c r="S2" s="55"/>
      <c r="T2" s="14"/>
      <c r="U2" s="14"/>
      <c r="V2" s="14"/>
      <c r="W2" s="14"/>
      <c r="X2" s="14"/>
    </row>
    <row r="3" spans="1:252" ht="12.75" x14ac:dyDescent="0.2">
      <c r="A3" s="537" t="s">
        <v>2278</v>
      </c>
      <c r="B3" s="537"/>
      <c r="C3" s="537"/>
      <c r="D3" s="537"/>
      <c r="E3" s="537"/>
      <c r="F3" s="537"/>
      <c r="G3" s="537"/>
      <c r="H3" s="537"/>
      <c r="I3" s="537"/>
      <c r="J3" s="537"/>
      <c r="K3" s="537"/>
      <c r="L3" s="537"/>
      <c r="M3" s="537"/>
      <c r="N3" s="537"/>
      <c r="O3" s="537"/>
      <c r="P3" s="537"/>
      <c r="Q3" s="537"/>
      <c r="R3" s="55"/>
      <c r="S3" s="55"/>
      <c r="T3" s="14"/>
      <c r="U3" s="14"/>
      <c r="V3" s="14"/>
      <c r="W3" s="14"/>
      <c r="X3" s="14"/>
    </row>
    <row r="4" spans="1:252" ht="9" customHeight="1" thickBot="1" x14ac:dyDescent="0.25"/>
    <row r="5" spans="1:252" ht="13.5" customHeight="1" thickTop="1" x14ac:dyDescent="0.2">
      <c r="A5" s="634" t="s">
        <v>1943</v>
      </c>
      <c r="B5" s="640" t="s">
        <v>1552</v>
      </c>
      <c r="C5" s="641"/>
      <c r="D5" s="647" t="s">
        <v>1008</v>
      </c>
      <c r="E5" s="534" t="s">
        <v>1285</v>
      </c>
      <c r="F5" s="534" t="s">
        <v>1707</v>
      </c>
      <c r="G5" s="530" t="s">
        <v>2074</v>
      </c>
      <c r="H5" s="534" t="s">
        <v>1286</v>
      </c>
      <c r="I5" s="656" t="s">
        <v>1656</v>
      </c>
      <c r="J5" s="657"/>
      <c r="K5" s="658"/>
      <c r="L5" s="650" t="s">
        <v>1288</v>
      </c>
      <c r="M5" s="530" t="s">
        <v>74</v>
      </c>
      <c r="N5" s="647" t="s">
        <v>585</v>
      </c>
      <c r="O5" s="534" t="s">
        <v>586</v>
      </c>
      <c r="P5" s="680" t="s">
        <v>1708</v>
      </c>
      <c r="Q5" s="530" t="s">
        <v>1867</v>
      </c>
      <c r="R5" s="683" t="s">
        <v>759</v>
      </c>
      <c r="S5" s="530" t="s">
        <v>2091</v>
      </c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  <c r="GS5" s="3"/>
      <c r="GT5" s="3"/>
      <c r="GU5" s="3"/>
      <c r="GV5" s="3"/>
      <c r="GW5" s="3"/>
      <c r="GX5" s="3"/>
      <c r="GY5" s="3"/>
      <c r="GZ5" s="3"/>
      <c r="HA5" s="3"/>
      <c r="HB5" s="3"/>
      <c r="HC5" s="3"/>
      <c r="HD5" s="3"/>
      <c r="HE5" s="3"/>
      <c r="HF5" s="3"/>
      <c r="HG5" s="3"/>
      <c r="HH5" s="3"/>
      <c r="HI5" s="3"/>
      <c r="HJ5" s="3"/>
      <c r="HK5" s="3"/>
      <c r="HL5" s="3"/>
      <c r="HM5" s="3"/>
      <c r="HN5" s="3"/>
      <c r="HO5" s="3"/>
      <c r="HP5" s="3"/>
      <c r="HQ5" s="3"/>
      <c r="HR5" s="3"/>
      <c r="HS5" s="3"/>
      <c r="HT5" s="3"/>
      <c r="HU5" s="3"/>
      <c r="HV5" s="3"/>
      <c r="HW5" s="3"/>
      <c r="HX5" s="3"/>
      <c r="HY5" s="3"/>
      <c r="HZ5" s="3"/>
      <c r="IA5" s="3"/>
      <c r="IB5" s="3"/>
      <c r="IC5" s="3"/>
      <c r="ID5" s="3"/>
      <c r="IE5" s="3"/>
      <c r="IF5" s="3"/>
      <c r="IG5" s="3"/>
      <c r="IH5" s="3"/>
      <c r="II5" s="3"/>
      <c r="IJ5" s="3"/>
      <c r="IK5" s="3"/>
      <c r="IL5" s="3"/>
      <c r="IM5" s="3"/>
      <c r="IN5" s="3"/>
      <c r="IO5" s="3"/>
      <c r="IP5" s="3"/>
      <c r="IQ5" s="3"/>
      <c r="IR5" s="3"/>
    </row>
    <row r="6" spans="1:252" ht="12.75" x14ac:dyDescent="0.2">
      <c r="A6" s="635"/>
      <c r="B6" s="642"/>
      <c r="C6" s="643"/>
      <c r="D6" s="648"/>
      <c r="E6" s="535"/>
      <c r="F6" s="544"/>
      <c r="G6" s="653"/>
      <c r="H6" s="535"/>
      <c r="I6" s="73" t="s">
        <v>1654</v>
      </c>
      <c r="J6" s="47" t="s">
        <v>688</v>
      </c>
      <c r="K6" s="218" t="s">
        <v>688</v>
      </c>
      <c r="L6" s="651"/>
      <c r="M6" s="531"/>
      <c r="N6" s="648"/>
      <c r="O6" s="535"/>
      <c r="P6" s="681"/>
      <c r="Q6" s="572"/>
      <c r="R6" s="684"/>
      <c r="S6" s="531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  <c r="GS6" s="3"/>
      <c r="GT6" s="3"/>
      <c r="GU6" s="3"/>
      <c r="GV6" s="3"/>
      <c r="GW6" s="3"/>
      <c r="GX6" s="3"/>
      <c r="GY6" s="3"/>
      <c r="GZ6" s="3"/>
      <c r="HA6" s="3"/>
      <c r="HB6" s="3"/>
      <c r="HC6" s="3"/>
      <c r="HD6" s="3"/>
      <c r="HE6" s="3"/>
      <c r="HF6" s="3"/>
      <c r="HG6" s="3"/>
      <c r="HH6" s="3"/>
      <c r="HI6" s="3"/>
      <c r="HJ6" s="3"/>
      <c r="HK6" s="3"/>
      <c r="HL6" s="3"/>
      <c r="HM6" s="3"/>
      <c r="HN6" s="3"/>
      <c r="HO6" s="3"/>
      <c r="HP6" s="3"/>
      <c r="HQ6" s="3"/>
      <c r="HR6" s="3"/>
      <c r="HS6" s="3"/>
      <c r="HT6" s="3"/>
      <c r="HU6" s="3"/>
      <c r="HV6" s="3"/>
      <c r="HW6" s="3"/>
      <c r="HX6" s="3"/>
      <c r="HY6" s="3"/>
      <c r="HZ6" s="3"/>
      <c r="IA6" s="3"/>
      <c r="IB6" s="3"/>
      <c r="IC6" s="3"/>
      <c r="ID6" s="3"/>
      <c r="IE6" s="3"/>
      <c r="IF6" s="3"/>
      <c r="IG6" s="3"/>
      <c r="IH6" s="3"/>
      <c r="II6" s="3"/>
      <c r="IJ6" s="3"/>
      <c r="IK6" s="3"/>
      <c r="IL6" s="3"/>
      <c r="IM6" s="3"/>
      <c r="IN6" s="3"/>
      <c r="IO6" s="3"/>
      <c r="IP6" s="3"/>
      <c r="IQ6" s="3"/>
      <c r="IR6" s="3"/>
    </row>
    <row r="7" spans="1:252" ht="13.5" thickBot="1" x14ac:dyDescent="0.25">
      <c r="A7" s="636"/>
      <c r="B7" s="644"/>
      <c r="C7" s="645"/>
      <c r="D7" s="648"/>
      <c r="E7" s="536"/>
      <c r="F7" s="655"/>
      <c r="G7" s="654"/>
      <c r="H7" s="536"/>
      <c r="I7" s="74" t="s">
        <v>1655</v>
      </c>
      <c r="J7" s="41" t="s">
        <v>689</v>
      </c>
      <c r="K7" s="219" t="s">
        <v>690</v>
      </c>
      <c r="L7" s="652"/>
      <c r="M7" s="532"/>
      <c r="N7" s="649"/>
      <c r="O7" s="536"/>
      <c r="P7" s="682"/>
      <c r="Q7" s="712"/>
      <c r="R7" s="685"/>
      <c r="S7" s="532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  <c r="GO7" s="3"/>
      <c r="GP7" s="3"/>
      <c r="GQ7" s="3"/>
      <c r="GR7" s="3"/>
      <c r="GS7" s="3"/>
      <c r="GT7" s="3"/>
      <c r="GU7" s="3"/>
      <c r="GV7" s="3"/>
      <c r="GW7" s="3"/>
      <c r="GX7" s="3"/>
      <c r="GY7" s="3"/>
      <c r="GZ7" s="3"/>
      <c r="HA7" s="3"/>
      <c r="HB7" s="3"/>
      <c r="HC7" s="3"/>
      <c r="HD7" s="3"/>
      <c r="HE7" s="3"/>
      <c r="HF7" s="3"/>
      <c r="HG7" s="3"/>
      <c r="HH7" s="3"/>
      <c r="HI7" s="3"/>
      <c r="HJ7" s="3"/>
      <c r="HK7" s="3"/>
      <c r="HL7" s="3"/>
      <c r="HM7" s="3"/>
      <c r="HN7" s="3"/>
      <c r="HO7" s="3"/>
      <c r="HP7" s="3"/>
      <c r="HQ7" s="3"/>
      <c r="HR7" s="3"/>
      <c r="HS7" s="3"/>
      <c r="HT7" s="3"/>
      <c r="HU7" s="3"/>
      <c r="HV7" s="3"/>
      <c r="HW7" s="3"/>
      <c r="HX7" s="3"/>
      <c r="HY7" s="3"/>
      <c r="HZ7" s="3"/>
      <c r="IA7" s="3"/>
      <c r="IB7" s="3"/>
      <c r="IC7" s="3"/>
      <c r="ID7" s="3"/>
      <c r="IE7" s="3"/>
      <c r="IF7" s="3"/>
      <c r="IG7" s="3"/>
      <c r="IH7" s="3"/>
      <c r="II7" s="3"/>
      <c r="IJ7" s="3"/>
      <c r="IK7" s="3"/>
      <c r="IL7" s="3"/>
      <c r="IM7" s="3"/>
      <c r="IN7" s="3"/>
      <c r="IO7" s="3"/>
      <c r="IP7" s="3"/>
      <c r="IQ7" s="3"/>
      <c r="IR7" s="3"/>
    </row>
    <row r="8" spans="1:252" ht="18.75" thickBot="1" x14ac:dyDescent="0.3">
      <c r="A8" s="637" t="s">
        <v>2256</v>
      </c>
      <c r="B8" s="638"/>
      <c r="C8" s="639"/>
      <c r="D8" s="78"/>
      <c r="E8" s="149"/>
      <c r="F8" s="36"/>
      <c r="G8" s="75"/>
      <c r="H8" s="36"/>
      <c r="I8" s="76"/>
      <c r="J8" s="76"/>
      <c r="K8" s="77"/>
      <c r="L8" s="156"/>
      <c r="M8" s="149"/>
      <c r="N8" s="149"/>
      <c r="O8" s="139"/>
      <c r="P8" s="139"/>
      <c r="Q8" s="139"/>
      <c r="R8" s="149"/>
      <c r="S8" s="149"/>
    </row>
    <row r="9" spans="1:252" x14ac:dyDescent="0.2">
      <c r="A9" s="572">
        <v>5</v>
      </c>
      <c r="B9" s="558" t="s">
        <v>2009</v>
      </c>
      <c r="C9" s="140" t="s">
        <v>605</v>
      </c>
      <c r="D9" s="78">
        <v>3.4</v>
      </c>
      <c r="E9" s="543" t="s">
        <v>533</v>
      </c>
      <c r="F9" s="552" t="s">
        <v>246</v>
      </c>
      <c r="G9" s="79" t="s">
        <v>607</v>
      </c>
      <c r="H9" s="609" t="s">
        <v>1476</v>
      </c>
      <c r="I9" s="589">
        <v>40811</v>
      </c>
      <c r="J9" s="589"/>
      <c r="K9" s="577"/>
      <c r="L9" s="588">
        <v>18974.8</v>
      </c>
      <c r="M9" s="588"/>
      <c r="N9" s="716"/>
      <c r="O9" s="615"/>
      <c r="P9" s="580"/>
      <c r="Q9" s="571" t="s">
        <v>1477</v>
      </c>
      <c r="R9" s="543" t="s">
        <v>271</v>
      </c>
      <c r="S9" s="543"/>
    </row>
    <row r="10" spans="1:252" x14ac:dyDescent="0.2">
      <c r="A10" s="572"/>
      <c r="B10" s="559"/>
      <c r="C10" s="140" t="s">
        <v>606</v>
      </c>
      <c r="D10" s="78">
        <v>4.7</v>
      </c>
      <c r="E10" s="545"/>
      <c r="F10" s="554"/>
      <c r="G10" s="62" t="s">
        <v>608</v>
      </c>
      <c r="H10" s="585"/>
      <c r="I10" s="591"/>
      <c r="J10" s="590"/>
      <c r="K10" s="578"/>
      <c r="L10" s="587"/>
      <c r="M10" s="587"/>
      <c r="N10" s="717"/>
      <c r="O10" s="617"/>
      <c r="P10" s="581"/>
      <c r="Q10" s="573"/>
      <c r="R10" s="545"/>
      <c r="S10" s="544"/>
    </row>
    <row r="11" spans="1:252" s="105" customFormat="1" x14ac:dyDescent="0.2">
      <c r="A11" s="573"/>
      <c r="B11" s="131"/>
      <c r="C11" s="140"/>
      <c r="D11" s="83">
        <f>SUM(D9:D10)</f>
        <v>8.1</v>
      </c>
      <c r="E11" s="151"/>
      <c r="F11" s="24"/>
      <c r="G11" s="63"/>
      <c r="H11" s="163"/>
      <c r="I11" s="81"/>
      <c r="J11" s="81"/>
      <c r="K11" s="82"/>
      <c r="L11" s="156"/>
      <c r="M11" s="153"/>
      <c r="N11" s="260"/>
      <c r="O11" s="140"/>
      <c r="P11" s="140"/>
      <c r="Q11" s="80"/>
      <c r="R11" s="151"/>
      <c r="S11" s="153"/>
    </row>
    <row r="12" spans="1:252" x14ac:dyDescent="0.2">
      <c r="A12" s="571">
        <v>5</v>
      </c>
      <c r="B12" s="558" t="s">
        <v>1783</v>
      </c>
      <c r="C12" s="140" t="s">
        <v>1780</v>
      </c>
      <c r="D12" s="78">
        <v>1.8</v>
      </c>
      <c r="E12" s="543" t="s">
        <v>533</v>
      </c>
      <c r="F12" s="552" t="s">
        <v>246</v>
      </c>
      <c r="G12" s="79" t="s">
        <v>1784</v>
      </c>
      <c r="H12" s="592" t="s">
        <v>1570</v>
      </c>
      <c r="I12" s="589">
        <v>40811</v>
      </c>
      <c r="J12" s="589">
        <v>40892</v>
      </c>
      <c r="K12" s="589">
        <v>40983</v>
      </c>
      <c r="L12" s="588">
        <v>23235.4</v>
      </c>
      <c r="M12" s="588"/>
      <c r="N12" s="716"/>
      <c r="O12" s="615"/>
      <c r="P12" s="580"/>
      <c r="Q12" s="571" t="s">
        <v>1786</v>
      </c>
      <c r="R12" s="543" t="s">
        <v>271</v>
      </c>
      <c r="S12" s="543"/>
    </row>
    <row r="13" spans="1:252" x14ac:dyDescent="0.2">
      <c r="A13" s="572"/>
      <c r="B13" s="613"/>
      <c r="C13" s="140" t="s">
        <v>1781</v>
      </c>
      <c r="D13" s="78">
        <v>2.5</v>
      </c>
      <c r="E13" s="544"/>
      <c r="F13" s="553"/>
      <c r="G13" s="79" t="s">
        <v>84</v>
      </c>
      <c r="H13" s="593"/>
      <c r="I13" s="590"/>
      <c r="J13" s="590"/>
      <c r="K13" s="590"/>
      <c r="L13" s="586"/>
      <c r="M13" s="586"/>
      <c r="N13" s="717"/>
      <c r="O13" s="616"/>
      <c r="P13" s="581"/>
      <c r="Q13" s="572"/>
      <c r="R13" s="544"/>
      <c r="S13" s="544"/>
    </row>
    <row r="14" spans="1:252" x14ac:dyDescent="0.2">
      <c r="A14" s="572"/>
      <c r="B14" s="559"/>
      <c r="C14" s="140" t="s">
        <v>1782</v>
      </c>
      <c r="D14" s="78">
        <v>5.8</v>
      </c>
      <c r="E14" s="545"/>
      <c r="F14" s="554"/>
      <c r="G14" s="79" t="s">
        <v>1785</v>
      </c>
      <c r="H14" s="594"/>
      <c r="I14" s="591"/>
      <c r="J14" s="591"/>
      <c r="K14" s="591"/>
      <c r="L14" s="587"/>
      <c r="M14" s="587"/>
      <c r="N14" s="717"/>
      <c r="O14" s="617"/>
      <c r="P14" s="581"/>
      <c r="Q14" s="573"/>
      <c r="R14" s="545" t="s">
        <v>150</v>
      </c>
      <c r="S14" s="544"/>
    </row>
    <row r="15" spans="1:252" s="105" customFormat="1" x14ac:dyDescent="0.2">
      <c r="A15" s="573"/>
      <c r="B15" s="131"/>
      <c r="C15" s="140"/>
      <c r="D15" s="83">
        <f>SUM(D12:D14)</f>
        <v>10.1</v>
      </c>
      <c r="E15" s="151"/>
      <c r="F15" s="24"/>
      <c r="G15" s="63"/>
      <c r="H15" s="163"/>
      <c r="I15" s="81"/>
      <c r="J15" s="81"/>
      <c r="K15" s="82"/>
      <c r="L15" s="156"/>
      <c r="M15" s="153"/>
      <c r="N15" s="260"/>
      <c r="O15" s="140"/>
      <c r="P15" s="140"/>
      <c r="Q15" s="80" t="s">
        <v>2</v>
      </c>
      <c r="R15" s="151"/>
      <c r="S15" s="153"/>
    </row>
    <row r="16" spans="1:252" s="306" customFormat="1" x14ac:dyDescent="0.2">
      <c r="A16" s="659"/>
      <c r="B16" s="293" t="s">
        <v>603</v>
      </c>
      <c r="C16" s="294" t="s">
        <v>603</v>
      </c>
      <c r="D16" s="295">
        <v>7</v>
      </c>
      <c r="E16" s="296" t="s">
        <v>533</v>
      </c>
      <c r="F16" s="297" t="s">
        <v>246</v>
      </c>
      <c r="G16" s="298" t="s">
        <v>1649</v>
      </c>
      <c r="H16" s="299" t="s">
        <v>896</v>
      </c>
      <c r="I16" s="300">
        <v>40811</v>
      </c>
      <c r="J16" s="300">
        <v>40875</v>
      </c>
      <c r="K16" s="301">
        <v>40967</v>
      </c>
      <c r="L16" s="302">
        <v>16072</v>
      </c>
      <c r="M16" s="302"/>
      <c r="N16" s="296"/>
      <c r="O16" s="303"/>
      <c r="P16" s="304"/>
      <c r="Q16" s="305" t="s">
        <v>604</v>
      </c>
      <c r="R16" s="296" t="s">
        <v>271</v>
      </c>
      <c r="S16" s="296"/>
    </row>
    <row r="17" spans="1:19" ht="12.75" customHeight="1" x14ac:dyDescent="0.2">
      <c r="A17" s="564"/>
      <c r="B17" s="131"/>
      <c r="C17" s="139"/>
      <c r="D17" s="95">
        <f>SUM(D16:D16)</f>
        <v>7</v>
      </c>
      <c r="E17" s="151"/>
      <c r="F17" s="36"/>
      <c r="G17" s="75"/>
      <c r="H17" s="163"/>
      <c r="I17" s="104"/>
      <c r="J17" s="76"/>
      <c r="K17" s="77"/>
      <c r="L17" s="156"/>
      <c r="M17" s="149"/>
      <c r="N17" s="262"/>
      <c r="O17" s="139"/>
      <c r="P17" s="139"/>
      <c r="Q17" s="67"/>
      <c r="R17" s="151"/>
      <c r="S17" s="149"/>
    </row>
    <row r="18" spans="1:19" x14ac:dyDescent="0.2">
      <c r="A18" s="572">
        <v>5</v>
      </c>
      <c r="B18" s="558" t="s">
        <v>2046</v>
      </c>
      <c r="C18" s="140" t="s">
        <v>1076</v>
      </c>
      <c r="D18" s="78">
        <v>4</v>
      </c>
      <c r="E18" s="543" t="s">
        <v>533</v>
      </c>
      <c r="F18" s="552" t="s">
        <v>246</v>
      </c>
      <c r="G18" s="62" t="s">
        <v>1649</v>
      </c>
      <c r="H18" s="609" t="s">
        <v>2027</v>
      </c>
      <c r="I18" s="589">
        <v>40811</v>
      </c>
      <c r="J18" s="589"/>
      <c r="K18" s="577"/>
      <c r="L18" s="588">
        <v>21292</v>
      </c>
      <c r="M18" s="588"/>
      <c r="N18" s="716"/>
      <c r="O18" s="615"/>
      <c r="P18" s="580"/>
      <c r="Q18" s="571" t="s">
        <v>1075</v>
      </c>
      <c r="R18" s="543" t="s">
        <v>271</v>
      </c>
      <c r="S18" s="543"/>
    </row>
    <row r="19" spans="1:19" x14ac:dyDescent="0.2">
      <c r="A19" s="572"/>
      <c r="B19" s="559"/>
      <c r="C19" s="140" t="s">
        <v>2026</v>
      </c>
      <c r="D19" s="78">
        <v>5</v>
      </c>
      <c r="E19" s="545"/>
      <c r="F19" s="554"/>
      <c r="G19" s="62" t="s">
        <v>792</v>
      </c>
      <c r="H19" s="585"/>
      <c r="I19" s="591"/>
      <c r="J19" s="590"/>
      <c r="K19" s="578"/>
      <c r="L19" s="587"/>
      <c r="M19" s="587"/>
      <c r="N19" s="717"/>
      <c r="O19" s="617"/>
      <c r="P19" s="581"/>
      <c r="Q19" s="573"/>
      <c r="R19" s="545"/>
      <c r="S19" s="544"/>
    </row>
    <row r="20" spans="1:19" s="105" customFormat="1" x14ac:dyDescent="0.2">
      <c r="A20" s="573"/>
      <c r="B20" s="131"/>
      <c r="C20" s="140"/>
      <c r="D20" s="83">
        <f>SUM(D18:D19)</f>
        <v>9</v>
      </c>
      <c r="E20" s="151"/>
      <c r="F20" s="24"/>
      <c r="G20" s="63"/>
      <c r="H20" s="163"/>
      <c r="I20" s="81"/>
      <c r="J20" s="81"/>
      <c r="K20" s="82"/>
      <c r="L20" s="156"/>
      <c r="M20" s="153"/>
      <c r="N20" s="260"/>
      <c r="O20" s="140"/>
      <c r="P20" s="140"/>
      <c r="Q20" s="80"/>
      <c r="R20" s="151"/>
      <c r="S20" s="153"/>
    </row>
    <row r="21" spans="1:19" s="105" customFormat="1" ht="45" x14ac:dyDescent="0.2">
      <c r="A21" s="659"/>
      <c r="B21" s="20" t="s">
        <v>143</v>
      </c>
      <c r="C21" s="20" t="s">
        <v>1380</v>
      </c>
      <c r="D21" s="96">
        <v>9</v>
      </c>
      <c r="E21" s="152" t="s">
        <v>533</v>
      </c>
      <c r="F21" s="24" t="s">
        <v>246</v>
      </c>
      <c r="G21" s="62" t="s">
        <v>1650</v>
      </c>
      <c r="H21" s="237" t="s">
        <v>717</v>
      </c>
      <c r="I21" s="104">
        <v>40811</v>
      </c>
      <c r="J21" s="104">
        <v>40865</v>
      </c>
      <c r="K21" s="104">
        <v>40957</v>
      </c>
      <c r="L21" s="167">
        <v>21422</v>
      </c>
      <c r="M21" s="167">
        <v>20609.259999999998</v>
      </c>
      <c r="N21" s="261">
        <v>100</v>
      </c>
      <c r="O21" s="119" t="s">
        <v>104</v>
      </c>
      <c r="P21" s="107"/>
      <c r="Q21" s="80" t="s">
        <v>1168</v>
      </c>
      <c r="R21" s="152" t="s">
        <v>271</v>
      </c>
      <c r="S21" s="152"/>
    </row>
    <row r="22" spans="1:19" ht="12.75" customHeight="1" x14ac:dyDescent="0.2">
      <c r="A22" s="564"/>
      <c r="B22" s="131"/>
      <c r="C22" s="139"/>
      <c r="D22" s="95">
        <f>SUM(D21:D21)</f>
        <v>9</v>
      </c>
      <c r="E22" s="151"/>
      <c r="F22" s="36"/>
      <c r="G22" s="75"/>
      <c r="H22" s="163"/>
      <c r="I22" s="104"/>
      <c r="J22" s="76"/>
      <c r="K22" s="77"/>
      <c r="L22" s="156"/>
      <c r="M22" s="149"/>
      <c r="N22" s="262"/>
      <c r="O22" s="139"/>
      <c r="P22" s="139"/>
      <c r="Q22" s="67"/>
      <c r="R22" s="151"/>
      <c r="S22" s="149"/>
    </row>
    <row r="23" spans="1:19" s="105" customFormat="1" ht="45" x14ac:dyDescent="0.2">
      <c r="A23" s="659"/>
      <c r="B23" s="20" t="s">
        <v>144</v>
      </c>
      <c r="C23" s="259" t="s">
        <v>1380</v>
      </c>
      <c r="D23" s="96">
        <v>8</v>
      </c>
      <c r="E23" s="152" t="s">
        <v>533</v>
      </c>
      <c r="F23" s="24" t="s">
        <v>246</v>
      </c>
      <c r="G23" s="62" t="s">
        <v>1650</v>
      </c>
      <c r="H23" s="237" t="s">
        <v>145</v>
      </c>
      <c r="I23" s="104">
        <v>40811</v>
      </c>
      <c r="J23" s="104">
        <v>40911</v>
      </c>
      <c r="K23" s="104">
        <v>41002</v>
      </c>
      <c r="L23" s="167">
        <v>18584</v>
      </c>
      <c r="M23" s="167">
        <v>13028.27</v>
      </c>
      <c r="N23" s="261">
        <v>100</v>
      </c>
      <c r="O23" s="119" t="s">
        <v>1823</v>
      </c>
      <c r="P23" s="107"/>
      <c r="Q23" s="80" t="s">
        <v>146</v>
      </c>
      <c r="R23" s="152" t="s">
        <v>271</v>
      </c>
      <c r="S23" s="152"/>
    </row>
    <row r="24" spans="1:19" ht="12.75" customHeight="1" x14ac:dyDescent="0.2">
      <c r="A24" s="564"/>
      <c r="B24" s="131"/>
      <c r="C24" s="139"/>
      <c r="D24" s="95">
        <f>SUM(D23:D23)</f>
        <v>8</v>
      </c>
      <c r="E24" s="151"/>
      <c r="F24" s="36"/>
      <c r="G24" s="75"/>
      <c r="H24" s="163"/>
      <c r="I24" s="104"/>
      <c r="J24" s="76"/>
      <c r="K24" s="77"/>
      <c r="L24" s="156"/>
      <c r="M24" s="149"/>
      <c r="N24" s="262"/>
      <c r="O24" s="139"/>
      <c r="P24" s="139"/>
      <c r="Q24" s="67"/>
      <c r="R24" s="151"/>
      <c r="S24" s="149"/>
    </row>
    <row r="25" spans="1:19" x14ac:dyDescent="0.2">
      <c r="A25" s="572">
        <v>1</v>
      </c>
      <c r="B25" s="613" t="s">
        <v>1043</v>
      </c>
      <c r="C25" s="139" t="s">
        <v>2142</v>
      </c>
      <c r="D25" s="90">
        <v>3.4</v>
      </c>
      <c r="E25" s="543" t="s">
        <v>533</v>
      </c>
      <c r="F25" s="552" t="s">
        <v>246</v>
      </c>
      <c r="G25" s="224" t="s">
        <v>1920</v>
      </c>
      <c r="H25" s="592" t="s">
        <v>713</v>
      </c>
      <c r="I25" s="589">
        <v>40811</v>
      </c>
      <c r="J25" s="589">
        <v>40889</v>
      </c>
      <c r="K25" s="577">
        <v>41011</v>
      </c>
      <c r="L25" s="588">
        <v>33705.599999999999</v>
      </c>
      <c r="M25" s="588">
        <v>23412.84</v>
      </c>
      <c r="N25" s="716">
        <v>100</v>
      </c>
      <c r="O25" s="615" t="s">
        <v>1381</v>
      </c>
      <c r="P25" s="580"/>
      <c r="Q25" s="571" t="s">
        <v>1044</v>
      </c>
      <c r="R25" s="543" t="s">
        <v>271</v>
      </c>
      <c r="S25" s="543"/>
    </row>
    <row r="26" spans="1:19" x14ac:dyDescent="0.2">
      <c r="A26" s="572"/>
      <c r="B26" s="613"/>
      <c r="C26" s="139" t="s">
        <v>2143</v>
      </c>
      <c r="D26" s="78">
        <v>4.2</v>
      </c>
      <c r="E26" s="544"/>
      <c r="F26" s="553"/>
      <c r="G26" s="62" t="s">
        <v>1045</v>
      </c>
      <c r="H26" s="593"/>
      <c r="I26" s="590"/>
      <c r="J26" s="590"/>
      <c r="K26" s="578"/>
      <c r="L26" s="586"/>
      <c r="M26" s="586"/>
      <c r="N26" s="717"/>
      <c r="O26" s="616"/>
      <c r="P26" s="581"/>
      <c r="Q26" s="572"/>
      <c r="R26" s="544"/>
      <c r="S26" s="544"/>
    </row>
    <row r="27" spans="1:19" x14ac:dyDescent="0.2">
      <c r="A27" s="572"/>
      <c r="B27" s="613"/>
      <c r="C27" s="139" t="s">
        <v>2144</v>
      </c>
      <c r="D27" s="78">
        <v>2.8</v>
      </c>
      <c r="E27" s="544"/>
      <c r="F27" s="553"/>
      <c r="G27" s="79" t="s">
        <v>1041</v>
      </c>
      <c r="H27" s="593"/>
      <c r="I27" s="590"/>
      <c r="J27" s="590"/>
      <c r="K27" s="578"/>
      <c r="L27" s="586"/>
      <c r="M27" s="586"/>
      <c r="N27" s="717"/>
      <c r="O27" s="616"/>
      <c r="P27" s="581"/>
      <c r="Q27" s="572"/>
      <c r="R27" s="544"/>
      <c r="S27" s="544"/>
    </row>
    <row r="28" spans="1:19" x14ac:dyDescent="0.2">
      <c r="A28" s="572"/>
      <c r="B28" s="613"/>
      <c r="C28" s="139" t="s">
        <v>2145</v>
      </c>
      <c r="D28" s="78">
        <v>4.3</v>
      </c>
      <c r="E28" s="544"/>
      <c r="F28" s="553"/>
      <c r="G28" s="79" t="s">
        <v>617</v>
      </c>
      <c r="H28" s="593"/>
      <c r="I28" s="590"/>
      <c r="J28" s="590"/>
      <c r="K28" s="578"/>
      <c r="L28" s="587"/>
      <c r="M28" s="586"/>
      <c r="N28" s="717"/>
      <c r="O28" s="616"/>
      <c r="P28" s="581"/>
      <c r="Q28" s="572"/>
      <c r="R28" s="544"/>
      <c r="S28" s="544"/>
    </row>
    <row r="29" spans="1:19" x14ac:dyDescent="0.2">
      <c r="A29" s="573"/>
      <c r="B29" s="20"/>
      <c r="C29" s="140"/>
      <c r="D29" s="83">
        <f>SUM(D25:D28)</f>
        <v>14.7</v>
      </c>
      <c r="E29" s="152"/>
      <c r="F29" s="24"/>
      <c r="G29" s="63"/>
      <c r="H29" s="160"/>
      <c r="I29" s="81"/>
      <c r="J29" s="81"/>
      <c r="K29" s="82"/>
      <c r="L29" s="165"/>
      <c r="M29" s="153"/>
      <c r="N29" s="260"/>
      <c r="O29" s="140"/>
      <c r="P29" s="140"/>
      <c r="Q29" s="80"/>
      <c r="R29" s="152"/>
      <c r="S29" s="153"/>
    </row>
    <row r="30" spans="1:19" ht="21" customHeight="1" x14ac:dyDescent="0.2">
      <c r="A30" s="572">
        <v>5</v>
      </c>
      <c r="B30" s="558" t="s">
        <v>2115</v>
      </c>
      <c r="C30" s="140" t="s">
        <v>10</v>
      </c>
      <c r="D30" s="78">
        <v>6.8</v>
      </c>
      <c r="E30" s="543" t="s">
        <v>283</v>
      </c>
      <c r="F30" s="552" t="s">
        <v>246</v>
      </c>
      <c r="G30" s="79" t="s">
        <v>2116</v>
      </c>
      <c r="H30" s="609" t="s">
        <v>2117</v>
      </c>
      <c r="I30" s="589">
        <v>40811</v>
      </c>
      <c r="J30" s="589">
        <v>40892</v>
      </c>
      <c r="K30" s="577">
        <v>40983</v>
      </c>
      <c r="L30" s="588">
        <v>36934</v>
      </c>
      <c r="M30" s="588">
        <v>33507.56</v>
      </c>
      <c r="N30" s="716">
        <v>100</v>
      </c>
      <c r="O30" s="615" t="s">
        <v>1824</v>
      </c>
      <c r="P30" s="580"/>
      <c r="Q30" s="571" t="s">
        <v>2119</v>
      </c>
      <c r="R30" s="543" t="s">
        <v>271</v>
      </c>
      <c r="S30" s="543"/>
    </row>
    <row r="31" spans="1:19" ht="26.25" customHeight="1" x14ac:dyDescent="0.2">
      <c r="A31" s="572"/>
      <c r="B31" s="559"/>
      <c r="C31" s="140" t="s">
        <v>11</v>
      </c>
      <c r="D31" s="78">
        <v>9.6</v>
      </c>
      <c r="E31" s="545"/>
      <c r="F31" s="554"/>
      <c r="G31" s="62" t="s">
        <v>1498</v>
      </c>
      <c r="H31" s="585"/>
      <c r="I31" s="591"/>
      <c r="J31" s="590"/>
      <c r="K31" s="578"/>
      <c r="L31" s="587"/>
      <c r="M31" s="587"/>
      <c r="N31" s="717"/>
      <c r="O31" s="617"/>
      <c r="P31" s="581"/>
      <c r="Q31" s="573"/>
      <c r="R31" s="545"/>
      <c r="S31" s="544"/>
    </row>
    <row r="32" spans="1:19" s="105" customFormat="1" x14ac:dyDescent="0.2">
      <c r="A32" s="573"/>
      <c r="B32" s="131"/>
      <c r="C32" s="140"/>
      <c r="D32" s="83">
        <f>SUM(D30:D31)</f>
        <v>16.399999999999999</v>
      </c>
      <c r="E32" s="151"/>
      <c r="F32" s="24"/>
      <c r="G32" s="63"/>
      <c r="H32" s="163"/>
      <c r="I32" s="81"/>
      <c r="J32" s="81"/>
      <c r="K32" s="82"/>
      <c r="L32" s="156"/>
      <c r="M32" s="153"/>
      <c r="N32" s="260"/>
      <c r="O32" s="140"/>
      <c r="P32" s="140"/>
      <c r="Q32" s="80"/>
      <c r="R32" s="151"/>
      <c r="S32" s="153"/>
    </row>
    <row r="33" spans="1:19" x14ac:dyDescent="0.2">
      <c r="A33" s="572">
        <v>1</v>
      </c>
      <c r="B33" s="613" t="s">
        <v>1560</v>
      </c>
      <c r="C33" s="139" t="s">
        <v>2252</v>
      </c>
      <c r="D33" s="90">
        <v>5.8</v>
      </c>
      <c r="E33" s="543" t="s">
        <v>1653</v>
      </c>
      <c r="F33" s="552" t="s">
        <v>246</v>
      </c>
      <c r="G33" s="224" t="s">
        <v>1562</v>
      </c>
      <c r="H33" s="592" t="s">
        <v>1561</v>
      </c>
      <c r="I33" s="589">
        <v>40811</v>
      </c>
      <c r="J33" s="589">
        <v>40882</v>
      </c>
      <c r="K33" s="589">
        <v>40973</v>
      </c>
      <c r="L33" s="588">
        <v>29196</v>
      </c>
      <c r="M33" s="588">
        <v>26491.55</v>
      </c>
      <c r="N33" s="716">
        <v>100</v>
      </c>
      <c r="O33" s="615" t="s">
        <v>2137</v>
      </c>
      <c r="P33" s="580"/>
      <c r="Q33" s="571" t="s">
        <v>1566</v>
      </c>
      <c r="R33" s="543" t="s">
        <v>271</v>
      </c>
      <c r="S33" s="543"/>
    </row>
    <row r="34" spans="1:19" x14ac:dyDescent="0.2">
      <c r="A34" s="572"/>
      <c r="B34" s="613"/>
      <c r="C34" s="139" t="s">
        <v>1557</v>
      </c>
      <c r="D34" s="78">
        <v>3.2</v>
      </c>
      <c r="E34" s="544"/>
      <c r="F34" s="553"/>
      <c r="G34" s="251" t="s">
        <v>1563</v>
      </c>
      <c r="H34" s="593"/>
      <c r="I34" s="590"/>
      <c r="J34" s="590"/>
      <c r="K34" s="590"/>
      <c r="L34" s="586"/>
      <c r="M34" s="586"/>
      <c r="N34" s="717"/>
      <c r="O34" s="616"/>
      <c r="P34" s="581"/>
      <c r="Q34" s="572"/>
      <c r="R34" s="544"/>
      <c r="S34" s="544"/>
    </row>
    <row r="35" spans="1:19" x14ac:dyDescent="0.2">
      <c r="A35" s="572"/>
      <c r="B35" s="613"/>
      <c r="C35" s="139" t="s">
        <v>1558</v>
      </c>
      <c r="D35" s="78">
        <v>2.5</v>
      </c>
      <c r="E35" s="544"/>
      <c r="F35" s="553"/>
      <c r="G35" s="79" t="s">
        <v>1564</v>
      </c>
      <c r="H35" s="593"/>
      <c r="I35" s="590"/>
      <c r="J35" s="590"/>
      <c r="K35" s="590"/>
      <c r="L35" s="586"/>
      <c r="M35" s="586"/>
      <c r="N35" s="717"/>
      <c r="O35" s="616"/>
      <c r="P35" s="581"/>
      <c r="Q35" s="572"/>
      <c r="R35" s="544"/>
      <c r="S35" s="544"/>
    </row>
    <row r="36" spans="1:19" x14ac:dyDescent="0.2">
      <c r="A36" s="572"/>
      <c r="B36" s="613"/>
      <c r="C36" s="139" t="s">
        <v>1559</v>
      </c>
      <c r="D36" s="78">
        <v>1.1000000000000001</v>
      </c>
      <c r="E36" s="544"/>
      <c r="F36" s="553"/>
      <c r="G36" s="79" t="s">
        <v>1565</v>
      </c>
      <c r="H36" s="593"/>
      <c r="I36" s="590"/>
      <c r="J36" s="590"/>
      <c r="K36" s="590"/>
      <c r="L36" s="587"/>
      <c r="M36" s="586"/>
      <c r="N36" s="717"/>
      <c r="O36" s="616"/>
      <c r="P36" s="581"/>
      <c r="Q36" s="572"/>
      <c r="R36" s="544"/>
      <c r="S36" s="544"/>
    </row>
    <row r="37" spans="1:19" x14ac:dyDescent="0.2">
      <c r="A37" s="573"/>
      <c r="B37" s="20"/>
      <c r="C37" s="140"/>
      <c r="D37" s="83">
        <f>SUM(D33:D36)</f>
        <v>12.6</v>
      </c>
      <c r="E37" s="152"/>
      <c r="F37" s="24"/>
      <c r="G37" s="63"/>
      <c r="H37" s="160"/>
      <c r="I37" s="81"/>
      <c r="J37" s="81"/>
      <c r="K37" s="82"/>
      <c r="L37" s="165"/>
      <c r="M37" s="153"/>
      <c r="N37" s="260"/>
      <c r="O37" s="140"/>
      <c r="P37" s="140"/>
      <c r="Q37" s="80"/>
      <c r="R37" s="152"/>
      <c r="S37" s="153"/>
    </row>
    <row r="38" spans="1:19" x14ac:dyDescent="0.2">
      <c r="A38" s="572">
        <v>1</v>
      </c>
      <c r="B38" s="613" t="s">
        <v>599</v>
      </c>
      <c r="C38" s="139" t="s">
        <v>119</v>
      </c>
      <c r="D38" s="90">
        <v>5</v>
      </c>
      <c r="E38" s="543" t="s">
        <v>283</v>
      </c>
      <c r="F38" s="552" t="s">
        <v>246</v>
      </c>
      <c r="G38" s="224" t="s">
        <v>1501</v>
      </c>
      <c r="H38" s="592" t="s">
        <v>600</v>
      </c>
      <c r="I38" s="589">
        <v>40811</v>
      </c>
      <c r="J38" s="589">
        <v>40913</v>
      </c>
      <c r="K38" s="589">
        <v>41004</v>
      </c>
      <c r="L38" s="588">
        <v>32763</v>
      </c>
      <c r="M38" s="588">
        <v>24144.44</v>
      </c>
      <c r="N38" s="716">
        <v>100</v>
      </c>
      <c r="O38" s="615" t="s">
        <v>710</v>
      </c>
      <c r="P38" s="580"/>
      <c r="Q38" s="571" t="s">
        <v>601</v>
      </c>
      <c r="R38" s="543" t="s">
        <v>271</v>
      </c>
      <c r="S38" s="543"/>
    </row>
    <row r="39" spans="1:19" x14ac:dyDescent="0.2">
      <c r="A39" s="572"/>
      <c r="B39" s="613"/>
      <c r="C39" s="258" t="s">
        <v>120</v>
      </c>
      <c r="D39" s="78">
        <v>0.6</v>
      </c>
      <c r="E39" s="544"/>
      <c r="F39" s="553"/>
      <c r="G39" s="62" t="s">
        <v>602</v>
      </c>
      <c r="H39" s="593"/>
      <c r="I39" s="590"/>
      <c r="J39" s="590"/>
      <c r="K39" s="590"/>
      <c r="L39" s="586"/>
      <c r="M39" s="586"/>
      <c r="N39" s="717"/>
      <c r="O39" s="616"/>
      <c r="P39" s="581"/>
      <c r="Q39" s="572"/>
      <c r="R39" s="544"/>
      <c r="S39" s="544"/>
    </row>
    <row r="40" spans="1:19" x14ac:dyDescent="0.2">
      <c r="A40" s="572"/>
      <c r="B40" s="613"/>
      <c r="C40" s="139" t="s">
        <v>121</v>
      </c>
      <c r="D40" s="78">
        <v>4.5</v>
      </c>
      <c r="E40" s="544"/>
      <c r="F40" s="553"/>
      <c r="G40" s="79" t="s">
        <v>1730</v>
      </c>
      <c r="H40" s="593"/>
      <c r="I40" s="590"/>
      <c r="J40" s="590"/>
      <c r="K40" s="590"/>
      <c r="L40" s="586"/>
      <c r="M40" s="586"/>
      <c r="N40" s="717"/>
      <c r="O40" s="616"/>
      <c r="P40" s="581"/>
      <c r="Q40" s="572"/>
      <c r="R40" s="544"/>
      <c r="S40" s="544"/>
    </row>
    <row r="41" spans="1:19" x14ac:dyDescent="0.2">
      <c r="A41" s="572"/>
      <c r="B41" s="613"/>
      <c r="C41" s="258" t="s">
        <v>122</v>
      </c>
      <c r="D41" s="78">
        <v>4.5</v>
      </c>
      <c r="E41" s="544"/>
      <c r="F41" s="553"/>
      <c r="G41" s="79" t="s">
        <v>2204</v>
      </c>
      <c r="H41" s="593"/>
      <c r="I41" s="590"/>
      <c r="J41" s="590"/>
      <c r="K41" s="590"/>
      <c r="L41" s="587"/>
      <c r="M41" s="586"/>
      <c r="N41" s="717"/>
      <c r="O41" s="616"/>
      <c r="P41" s="581"/>
      <c r="Q41" s="572"/>
      <c r="R41" s="544"/>
      <c r="S41" s="544"/>
    </row>
    <row r="42" spans="1:19" x14ac:dyDescent="0.2">
      <c r="A42" s="573"/>
      <c r="B42" s="20"/>
      <c r="C42" s="140"/>
      <c r="D42" s="83">
        <f>SUM(D38:D41)</f>
        <v>14.6</v>
      </c>
      <c r="E42" s="152"/>
      <c r="F42" s="24"/>
      <c r="G42" s="63"/>
      <c r="H42" s="160"/>
      <c r="I42" s="81"/>
      <c r="J42" s="81"/>
      <c r="K42" s="82"/>
      <c r="L42" s="165"/>
      <c r="M42" s="153"/>
      <c r="N42" s="260"/>
      <c r="O42" s="140"/>
      <c r="P42" s="140"/>
      <c r="Q42" s="80"/>
      <c r="R42" s="152"/>
      <c r="S42" s="153"/>
    </row>
    <row r="43" spans="1:19" s="335" customFormat="1" ht="45" x14ac:dyDescent="0.2">
      <c r="A43" s="659"/>
      <c r="B43" s="289" t="s">
        <v>161</v>
      </c>
      <c r="C43" s="289" t="s">
        <v>81</v>
      </c>
      <c r="D43" s="369">
        <v>10</v>
      </c>
      <c r="E43" s="319" t="s">
        <v>284</v>
      </c>
      <c r="F43" s="328" t="s">
        <v>246</v>
      </c>
      <c r="G43" s="329" t="s">
        <v>86</v>
      </c>
      <c r="H43" s="290" t="s">
        <v>162</v>
      </c>
      <c r="I43" s="390">
        <v>40811</v>
      </c>
      <c r="J43" s="390"/>
      <c r="K43" s="391">
        <v>41015</v>
      </c>
      <c r="L43" s="331">
        <v>25020</v>
      </c>
      <c r="M43" s="331">
        <v>19572.900000000001</v>
      </c>
      <c r="N43" s="319">
        <v>100</v>
      </c>
      <c r="O43" s="332" t="s">
        <v>710</v>
      </c>
      <c r="P43" s="333"/>
      <c r="Q43" s="334" t="s">
        <v>163</v>
      </c>
      <c r="R43" s="319" t="s">
        <v>271</v>
      </c>
      <c r="S43" s="319"/>
    </row>
    <row r="44" spans="1:19" ht="12.75" customHeight="1" x14ac:dyDescent="0.2">
      <c r="A44" s="564"/>
      <c r="B44" s="131"/>
      <c r="C44" s="139"/>
      <c r="D44" s="95">
        <f>SUM(D43:D43)</f>
        <v>10</v>
      </c>
      <c r="E44" s="151"/>
      <c r="F44" s="36"/>
      <c r="G44" s="75"/>
      <c r="H44" s="163"/>
      <c r="I44" s="104"/>
      <c r="J44" s="76"/>
      <c r="K44" s="77"/>
      <c r="L44" s="156"/>
      <c r="M44" s="149"/>
      <c r="N44" s="262"/>
      <c r="O44" s="139"/>
      <c r="P44" s="139"/>
      <c r="Q44" s="67"/>
      <c r="R44" s="151"/>
      <c r="S44" s="149"/>
    </row>
    <row r="45" spans="1:19" s="105" customFormat="1" ht="45" customHeight="1" x14ac:dyDescent="0.2">
      <c r="A45" s="659"/>
      <c r="B45" s="558" t="s">
        <v>147</v>
      </c>
      <c r="C45" s="278" t="s">
        <v>81</v>
      </c>
      <c r="D45" s="96">
        <v>9.3000000000000007</v>
      </c>
      <c r="E45" s="543" t="s">
        <v>284</v>
      </c>
      <c r="F45" s="552" t="s">
        <v>246</v>
      </c>
      <c r="G45" s="62" t="s">
        <v>86</v>
      </c>
      <c r="H45" s="609" t="s">
        <v>537</v>
      </c>
      <c r="I45" s="589">
        <v>40811</v>
      </c>
      <c r="J45" s="589">
        <v>40925</v>
      </c>
      <c r="K45" s="589">
        <v>41016</v>
      </c>
      <c r="L45" s="588">
        <v>23701.200000000001</v>
      </c>
      <c r="M45" s="588">
        <v>15706.76</v>
      </c>
      <c r="N45" s="716">
        <v>100</v>
      </c>
      <c r="O45" s="718" t="s">
        <v>1157</v>
      </c>
      <c r="P45" s="565"/>
      <c r="Q45" s="571" t="s">
        <v>87</v>
      </c>
      <c r="R45" s="543" t="s">
        <v>271</v>
      </c>
      <c r="S45" s="543"/>
    </row>
    <row r="46" spans="1:19" s="280" customFormat="1" x14ac:dyDescent="0.2">
      <c r="A46" s="659"/>
      <c r="B46" s="559"/>
      <c r="C46" s="281" t="s">
        <v>1184</v>
      </c>
      <c r="D46" s="96">
        <v>7.4</v>
      </c>
      <c r="E46" s="545"/>
      <c r="F46" s="554"/>
      <c r="G46" s="279" t="s">
        <v>1185</v>
      </c>
      <c r="H46" s="585"/>
      <c r="I46" s="591"/>
      <c r="J46" s="591"/>
      <c r="K46" s="591"/>
      <c r="L46" s="587"/>
      <c r="M46" s="587"/>
      <c r="N46" s="720"/>
      <c r="O46" s="719"/>
      <c r="P46" s="566"/>
      <c r="Q46" s="573"/>
      <c r="R46" s="545"/>
      <c r="S46" s="545"/>
    </row>
    <row r="47" spans="1:19" ht="12.75" customHeight="1" x14ac:dyDescent="0.2">
      <c r="A47" s="564"/>
      <c r="B47" s="131"/>
      <c r="C47" s="139"/>
      <c r="D47" s="95">
        <f>SUM(D46)</f>
        <v>7.4</v>
      </c>
      <c r="E47" s="151"/>
      <c r="F47" s="36"/>
      <c r="G47" s="75"/>
      <c r="H47" s="163"/>
      <c r="I47" s="104"/>
      <c r="J47" s="76"/>
      <c r="K47" s="77"/>
      <c r="L47" s="156"/>
      <c r="M47" s="149"/>
      <c r="N47" s="262"/>
      <c r="O47" s="139"/>
      <c r="P47" s="139"/>
      <c r="Q47" s="67"/>
      <c r="R47" s="151"/>
      <c r="S47" s="149"/>
    </row>
    <row r="48" spans="1:19" ht="21" customHeight="1" x14ac:dyDescent="0.2">
      <c r="A48" s="572">
        <v>5</v>
      </c>
      <c r="B48" s="558" t="s">
        <v>276</v>
      </c>
      <c r="C48" s="140" t="s">
        <v>1494</v>
      </c>
      <c r="D48" s="78">
        <v>6.4</v>
      </c>
      <c r="E48" s="543" t="s">
        <v>284</v>
      </c>
      <c r="F48" s="552" t="s">
        <v>246</v>
      </c>
      <c r="G48" s="79" t="s">
        <v>278</v>
      </c>
      <c r="H48" s="609" t="s">
        <v>275</v>
      </c>
      <c r="I48" s="589">
        <v>40811</v>
      </c>
      <c r="J48" s="589">
        <v>40897</v>
      </c>
      <c r="K48" s="589">
        <v>40988</v>
      </c>
      <c r="L48" s="588">
        <v>24373</v>
      </c>
      <c r="M48" s="588">
        <v>23323.759999999998</v>
      </c>
      <c r="N48" s="716">
        <v>100</v>
      </c>
      <c r="O48" s="615" t="s">
        <v>2011</v>
      </c>
      <c r="P48" s="580"/>
      <c r="Q48" s="571" t="s">
        <v>277</v>
      </c>
      <c r="R48" s="543" t="s">
        <v>271</v>
      </c>
      <c r="S48" s="543"/>
    </row>
    <row r="49" spans="1:19" ht="22.5" customHeight="1" x14ac:dyDescent="0.2">
      <c r="A49" s="572"/>
      <c r="B49" s="559"/>
      <c r="C49" s="140" t="s">
        <v>274</v>
      </c>
      <c r="D49" s="78">
        <v>3.5</v>
      </c>
      <c r="E49" s="545"/>
      <c r="F49" s="554"/>
      <c r="G49" s="62" t="s">
        <v>279</v>
      </c>
      <c r="H49" s="585"/>
      <c r="I49" s="591"/>
      <c r="J49" s="591"/>
      <c r="K49" s="591"/>
      <c r="L49" s="587"/>
      <c r="M49" s="587"/>
      <c r="N49" s="717"/>
      <c r="O49" s="617"/>
      <c r="P49" s="581"/>
      <c r="Q49" s="573"/>
      <c r="R49" s="545"/>
      <c r="S49" s="544"/>
    </row>
    <row r="50" spans="1:19" s="105" customFormat="1" x14ac:dyDescent="0.2">
      <c r="A50" s="573"/>
      <c r="B50" s="131"/>
      <c r="C50" s="140"/>
      <c r="D50" s="83">
        <f>SUM(D48:D49)</f>
        <v>9.9</v>
      </c>
      <c r="E50" s="151"/>
      <c r="F50" s="24"/>
      <c r="G50" s="63"/>
      <c r="H50" s="163"/>
      <c r="I50" s="81"/>
      <c r="J50" s="81"/>
      <c r="K50" s="82"/>
      <c r="L50" s="156"/>
      <c r="M50" s="153"/>
      <c r="N50" s="260"/>
      <c r="O50" s="140"/>
      <c r="P50" s="140"/>
      <c r="Q50" s="80"/>
      <c r="R50" s="151"/>
      <c r="S50" s="153"/>
    </row>
    <row r="51" spans="1:19" s="105" customFormat="1" ht="45" x14ac:dyDescent="0.2">
      <c r="A51" s="659"/>
      <c r="B51" s="20" t="s">
        <v>1478</v>
      </c>
      <c r="C51" s="20" t="s">
        <v>1478</v>
      </c>
      <c r="D51" s="96">
        <v>10.6</v>
      </c>
      <c r="E51" s="152" t="s">
        <v>284</v>
      </c>
      <c r="F51" s="24" t="s">
        <v>246</v>
      </c>
      <c r="G51" s="62" t="s">
        <v>2165</v>
      </c>
      <c r="H51" s="160" t="s">
        <v>534</v>
      </c>
      <c r="I51" s="104">
        <v>40811</v>
      </c>
      <c r="J51" s="104">
        <v>40940</v>
      </c>
      <c r="K51" s="106">
        <v>41031</v>
      </c>
      <c r="L51" s="167">
        <v>25361.599999999999</v>
      </c>
      <c r="M51" s="167">
        <v>24192</v>
      </c>
      <c r="N51" s="359">
        <v>100</v>
      </c>
      <c r="O51" s="119" t="s">
        <v>375</v>
      </c>
      <c r="P51" s="107"/>
      <c r="Q51" s="80" t="s">
        <v>1775</v>
      </c>
      <c r="R51" s="152" t="s">
        <v>271</v>
      </c>
      <c r="S51" s="152"/>
    </row>
    <row r="52" spans="1:19" ht="12.75" customHeight="1" x14ac:dyDescent="0.2">
      <c r="A52" s="564"/>
      <c r="B52" s="131"/>
      <c r="C52" s="139"/>
      <c r="D52" s="95">
        <f>SUM(D51:D51)</f>
        <v>10.6</v>
      </c>
      <c r="E52" s="151"/>
      <c r="F52" s="36"/>
      <c r="G52" s="75"/>
      <c r="H52" s="163"/>
      <c r="I52" s="104"/>
      <c r="J52" s="76"/>
      <c r="K52" s="77"/>
      <c r="L52" s="156"/>
      <c r="M52" s="149"/>
      <c r="N52" s="262"/>
      <c r="O52" s="139"/>
      <c r="P52" s="139"/>
      <c r="Q52" s="67"/>
      <c r="R52" s="151"/>
      <c r="S52" s="149"/>
    </row>
    <row r="53" spans="1:19" x14ac:dyDescent="0.2">
      <c r="A53" s="572">
        <v>5</v>
      </c>
      <c r="B53" s="558" t="s">
        <v>90</v>
      </c>
      <c r="C53" s="140" t="s">
        <v>88</v>
      </c>
      <c r="D53" s="78">
        <v>5</v>
      </c>
      <c r="E53" s="543" t="s">
        <v>284</v>
      </c>
      <c r="F53" s="552" t="s">
        <v>246</v>
      </c>
      <c r="G53" s="79" t="s">
        <v>2216</v>
      </c>
      <c r="H53" s="609" t="s">
        <v>2120</v>
      </c>
      <c r="I53" s="589">
        <v>40811</v>
      </c>
      <c r="J53" s="589"/>
      <c r="K53" s="577"/>
      <c r="L53" s="588">
        <v>21541.599999999999</v>
      </c>
      <c r="M53" s="588"/>
      <c r="N53" s="721">
        <v>100</v>
      </c>
      <c r="O53" s="615" t="s">
        <v>2272</v>
      </c>
      <c r="P53" s="580"/>
      <c r="Q53" s="571" t="s">
        <v>2217</v>
      </c>
      <c r="R53" s="543" t="s">
        <v>271</v>
      </c>
      <c r="S53" s="543"/>
    </row>
    <row r="54" spans="1:19" x14ac:dyDescent="0.2">
      <c r="A54" s="572"/>
      <c r="B54" s="559"/>
      <c r="C54" s="230" t="s">
        <v>89</v>
      </c>
      <c r="D54" s="78">
        <v>3.4</v>
      </c>
      <c r="E54" s="545"/>
      <c r="F54" s="554"/>
      <c r="G54" s="62" t="s">
        <v>2271</v>
      </c>
      <c r="H54" s="585"/>
      <c r="I54" s="591"/>
      <c r="J54" s="590"/>
      <c r="K54" s="578"/>
      <c r="L54" s="587"/>
      <c r="M54" s="587"/>
      <c r="N54" s="722"/>
      <c r="O54" s="617"/>
      <c r="P54" s="581"/>
      <c r="Q54" s="573"/>
      <c r="R54" s="545"/>
      <c r="S54" s="544"/>
    </row>
    <row r="55" spans="1:19" s="105" customFormat="1" x14ac:dyDescent="0.2">
      <c r="A55" s="573"/>
      <c r="B55" s="131"/>
      <c r="C55" s="140"/>
      <c r="D55" s="83">
        <f>SUM(D53:D54)</f>
        <v>8.4</v>
      </c>
      <c r="E55" s="151"/>
      <c r="F55" s="24"/>
      <c r="G55" s="63"/>
      <c r="H55" s="163"/>
      <c r="I55" s="81"/>
      <c r="J55" s="81"/>
      <c r="K55" s="82"/>
      <c r="L55" s="156"/>
      <c r="M55" s="153"/>
      <c r="N55" s="260"/>
      <c r="O55" s="140"/>
      <c r="P55" s="140"/>
      <c r="Q55" s="80"/>
      <c r="R55" s="151"/>
      <c r="S55" s="153"/>
    </row>
    <row r="56" spans="1:19" x14ac:dyDescent="0.2">
      <c r="A56" s="572">
        <v>1</v>
      </c>
      <c r="B56" s="613" t="s">
        <v>544</v>
      </c>
      <c r="C56" s="139" t="s">
        <v>498</v>
      </c>
      <c r="D56" s="90">
        <v>5.0999999999999996</v>
      </c>
      <c r="E56" s="543" t="s">
        <v>285</v>
      </c>
      <c r="F56" s="552" t="s">
        <v>246</v>
      </c>
      <c r="G56" s="224" t="s">
        <v>547</v>
      </c>
      <c r="H56" s="592" t="s">
        <v>545</v>
      </c>
      <c r="I56" s="589">
        <v>40813</v>
      </c>
      <c r="J56" s="589">
        <v>40890</v>
      </c>
      <c r="K56" s="589">
        <v>40995</v>
      </c>
      <c r="L56" s="588">
        <v>33429.599999999999</v>
      </c>
      <c r="M56" s="588">
        <v>30004.13</v>
      </c>
      <c r="N56" s="716">
        <v>100</v>
      </c>
      <c r="O56" s="615" t="s">
        <v>719</v>
      </c>
      <c r="P56" s="588">
        <v>4200.8</v>
      </c>
      <c r="Q56" s="571" t="s">
        <v>546</v>
      </c>
      <c r="R56" s="543" t="s">
        <v>271</v>
      </c>
      <c r="S56" s="543"/>
    </row>
    <row r="57" spans="1:19" x14ac:dyDescent="0.2">
      <c r="A57" s="572"/>
      <c r="B57" s="613"/>
      <c r="C57" s="139" t="s">
        <v>1716</v>
      </c>
      <c r="D57" s="78">
        <v>1</v>
      </c>
      <c r="E57" s="544"/>
      <c r="F57" s="553"/>
      <c r="G57" s="62" t="s">
        <v>548</v>
      </c>
      <c r="H57" s="593"/>
      <c r="I57" s="590"/>
      <c r="J57" s="590"/>
      <c r="K57" s="590"/>
      <c r="L57" s="586"/>
      <c r="M57" s="586"/>
      <c r="N57" s="717"/>
      <c r="O57" s="616"/>
      <c r="P57" s="586"/>
      <c r="Q57" s="572"/>
      <c r="R57" s="544"/>
      <c r="S57" s="544"/>
    </row>
    <row r="58" spans="1:19" x14ac:dyDescent="0.2">
      <c r="A58" s="572"/>
      <c r="B58" s="613"/>
      <c r="C58" s="139" t="s">
        <v>1717</v>
      </c>
      <c r="D58" s="78">
        <v>4.3</v>
      </c>
      <c r="E58" s="544"/>
      <c r="F58" s="553"/>
      <c r="G58" s="79" t="s">
        <v>549</v>
      </c>
      <c r="H58" s="593"/>
      <c r="I58" s="590"/>
      <c r="J58" s="590"/>
      <c r="K58" s="590"/>
      <c r="L58" s="586"/>
      <c r="M58" s="586"/>
      <c r="N58" s="717"/>
      <c r="O58" s="616"/>
      <c r="P58" s="586"/>
      <c r="Q58" s="572"/>
      <c r="R58" s="544"/>
      <c r="S58" s="544"/>
    </row>
    <row r="59" spans="1:19" x14ac:dyDescent="0.2">
      <c r="A59" s="572"/>
      <c r="B59" s="559"/>
      <c r="C59" s="140" t="s">
        <v>1718</v>
      </c>
      <c r="D59" s="78">
        <v>4</v>
      </c>
      <c r="E59" s="545"/>
      <c r="F59" s="554"/>
      <c r="G59" s="62" t="s">
        <v>1912</v>
      </c>
      <c r="H59" s="593" t="s">
        <v>855</v>
      </c>
      <c r="I59" s="590"/>
      <c r="J59" s="590"/>
      <c r="K59" s="590"/>
      <c r="L59" s="587"/>
      <c r="M59" s="587"/>
      <c r="N59" s="717"/>
      <c r="O59" s="616"/>
      <c r="P59" s="587"/>
      <c r="Q59" s="572"/>
      <c r="R59" s="545" t="s">
        <v>150</v>
      </c>
      <c r="S59" s="544"/>
    </row>
    <row r="60" spans="1:19" x14ac:dyDescent="0.2">
      <c r="A60" s="573"/>
      <c r="B60" s="20"/>
      <c r="C60" s="140"/>
      <c r="D60" s="83">
        <f>SUM(D56:D59)</f>
        <v>14.399999999999999</v>
      </c>
      <c r="E60" s="152"/>
      <c r="F60" s="24"/>
      <c r="G60" s="63"/>
      <c r="H60" s="160"/>
      <c r="I60" s="81"/>
      <c r="J60" s="81"/>
      <c r="K60" s="82"/>
      <c r="L60" s="165"/>
      <c r="M60" s="153"/>
      <c r="N60" s="260"/>
      <c r="O60" s="140"/>
      <c r="P60" s="140"/>
      <c r="Q60" s="80"/>
      <c r="R60" s="152"/>
      <c r="S60" s="153"/>
    </row>
    <row r="61" spans="1:19" x14ac:dyDescent="0.2">
      <c r="A61" s="572">
        <v>1</v>
      </c>
      <c r="B61" s="613" t="s">
        <v>1070</v>
      </c>
      <c r="C61" s="139" t="s">
        <v>1787</v>
      </c>
      <c r="D61" s="90">
        <v>1.8</v>
      </c>
      <c r="E61" s="543" t="s">
        <v>284</v>
      </c>
      <c r="F61" s="552" t="s">
        <v>246</v>
      </c>
      <c r="G61" s="224" t="s">
        <v>1071</v>
      </c>
      <c r="H61" s="592" t="s">
        <v>2024</v>
      </c>
      <c r="I61" s="589">
        <v>40813</v>
      </c>
      <c r="J61" s="589">
        <v>40906</v>
      </c>
      <c r="K61" s="577">
        <v>40997</v>
      </c>
      <c r="L61" s="588">
        <v>20427</v>
      </c>
      <c r="M61" s="588"/>
      <c r="N61" s="716"/>
      <c r="O61" s="615"/>
      <c r="P61" s="580"/>
      <c r="Q61" s="571" t="s">
        <v>2025</v>
      </c>
      <c r="R61" s="543" t="s">
        <v>271</v>
      </c>
      <c r="S61" s="543"/>
    </row>
    <row r="62" spans="1:19" x14ac:dyDescent="0.2">
      <c r="A62" s="572"/>
      <c r="B62" s="613"/>
      <c r="C62" s="139" t="s">
        <v>1788</v>
      </c>
      <c r="D62" s="78">
        <v>3.1</v>
      </c>
      <c r="E62" s="544"/>
      <c r="F62" s="553"/>
      <c r="G62" s="62" t="s">
        <v>891</v>
      </c>
      <c r="H62" s="593"/>
      <c r="I62" s="590"/>
      <c r="J62" s="590"/>
      <c r="K62" s="578"/>
      <c r="L62" s="586"/>
      <c r="M62" s="586"/>
      <c r="N62" s="717"/>
      <c r="O62" s="616"/>
      <c r="P62" s="581"/>
      <c r="Q62" s="572"/>
      <c r="R62" s="544"/>
      <c r="S62" s="544"/>
    </row>
    <row r="63" spans="1:19" x14ac:dyDescent="0.2">
      <c r="A63" s="572"/>
      <c r="B63" s="559"/>
      <c r="C63" s="140" t="s">
        <v>682</v>
      </c>
      <c r="D63" s="78">
        <v>3</v>
      </c>
      <c r="E63" s="545"/>
      <c r="F63" s="554"/>
      <c r="G63" s="62" t="s">
        <v>1072</v>
      </c>
      <c r="H63" s="593" t="s">
        <v>855</v>
      </c>
      <c r="I63" s="590"/>
      <c r="J63" s="590"/>
      <c r="K63" s="578"/>
      <c r="L63" s="587"/>
      <c r="M63" s="587"/>
      <c r="N63" s="717"/>
      <c r="O63" s="616"/>
      <c r="P63" s="581"/>
      <c r="Q63" s="572"/>
      <c r="R63" s="545" t="s">
        <v>150</v>
      </c>
      <c r="S63" s="544"/>
    </row>
    <row r="64" spans="1:19" x14ac:dyDescent="0.2">
      <c r="A64" s="573"/>
      <c r="B64" s="20"/>
      <c r="C64" s="140"/>
      <c r="D64" s="83">
        <f>SUM(D61:D63)</f>
        <v>7.9</v>
      </c>
      <c r="E64" s="152"/>
      <c r="F64" s="24"/>
      <c r="G64" s="63"/>
      <c r="H64" s="160"/>
      <c r="I64" s="81"/>
      <c r="J64" s="81"/>
      <c r="K64" s="82"/>
      <c r="L64" s="165"/>
      <c r="M64" s="153"/>
      <c r="N64" s="260"/>
      <c r="O64" s="140"/>
      <c r="P64" s="140"/>
      <c r="Q64" s="80"/>
      <c r="R64" s="152"/>
      <c r="S64" s="153"/>
    </row>
    <row r="65" spans="1:19" s="105" customFormat="1" x14ac:dyDescent="0.2">
      <c r="A65" s="659"/>
      <c r="B65" s="20" t="s">
        <v>140</v>
      </c>
      <c r="C65" s="20" t="s">
        <v>1160</v>
      </c>
      <c r="D65" s="96">
        <v>9</v>
      </c>
      <c r="E65" s="152" t="s">
        <v>284</v>
      </c>
      <c r="F65" s="24" t="s">
        <v>246</v>
      </c>
      <c r="G65" s="62" t="s">
        <v>1612</v>
      </c>
      <c r="H65" s="160" t="s">
        <v>141</v>
      </c>
      <c r="I65" s="104">
        <v>40811</v>
      </c>
      <c r="J65" s="104"/>
      <c r="K65" s="106"/>
      <c r="L65" s="167">
        <v>20608</v>
      </c>
      <c r="M65" s="167"/>
      <c r="N65" s="261"/>
      <c r="O65" s="119"/>
      <c r="P65" s="107"/>
      <c r="Q65" s="80" t="s">
        <v>142</v>
      </c>
      <c r="R65" s="152" t="s">
        <v>271</v>
      </c>
      <c r="S65" s="152"/>
    </row>
    <row r="66" spans="1:19" ht="12.75" customHeight="1" x14ac:dyDescent="0.2">
      <c r="A66" s="564"/>
      <c r="B66" s="131"/>
      <c r="C66" s="139"/>
      <c r="D66" s="95">
        <f>SUM(D65:D65)</f>
        <v>9</v>
      </c>
      <c r="E66" s="151"/>
      <c r="F66" s="36"/>
      <c r="G66" s="75"/>
      <c r="H66" s="163"/>
      <c r="I66" s="104"/>
      <c r="J66" s="76"/>
      <c r="K66" s="77"/>
      <c r="L66" s="156"/>
      <c r="M66" s="149"/>
      <c r="N66" s="262"/>
      <c r="O66" s="139"/>
      <c r="P66" s="139"/>
      <c r="Q66" s="67"/>
      <c r="R66" s="151"/>
      <c r="S66" s="149"/>
    </row>
    <row r="67" spans="1:19" s="105" customFormat="1" ht="45" x14ac:dyDescent="0.2">
      <c r="A67" s="659"/>
      <c r="B67" s="20" t="s">
        <v>1161</v>
      </c>
      <c r="C67" s="20" t="s">
        <v>1160</v>
      </c>
      <c r="D67" s="96">
        <v>8.1</v>
      </c>
      <c r="E67" s="152" t="s">
        <v>284</v>
      </c>
      <c r="F67" s="24" t="s">
        <v>246</v>
      </c>
      <c r="G67" s="62" t="s">
        <v>1612</v>
      </c>
      <c r="H67" s="160" t="s">
        <v>2120</v>
      </c>
      <c r="I67" s="104">
        <v>40811</v>
      </c>
      <c r="J67" s="104"/>
      <c r="K67" s="106"/>
      <c r="L67" s="167">
        <v>20060</v>
      </c>
      <c r="M67" s="167"/>
      <c r="N67" s="261">
        <v>100</v>
      </c>
      <c r="O67" s="119" t="s">
        <v>2273</v>
      </c>
      <c r="P67" s="107"/>
      <c r="Q67" s="80" t="s">
        <v>1162</v>
      </c>
      <c r="R67" s="152" t="s">
        <v>271</v>
      </c>
      <c r="S67" s="152"/>
    </row>
    <row r="68" spans="1:19" ht="12.75" customHeight="1" x14ac:dyDescent="0.2">
      <c r="A68" s="564"/>
      <c r="B68" s="131"/>
      <c r="C68" s="139"/>
      <c r="D68" s="95">
        <f>SUM(D67:D67)</f>
        <v>8.1</v>
      </c>
      <c r="E68" s="151"/>
      <c r="F68" s="36"/>
      <c r="G68" s="75"/>
      <c r="H68" s="163"/>
      <c r="I68" s="104"/>
      <c r="J68" s="76"/>
      <c r="K68" s="77"/>
      <c r="L68" s="156"/>
      <c r="M68" s="149"/>
      <c r="N68" s="262"/>
      <c r="O68" s="139"/>
      <c r="P68" s="139"/>
      <c r="Q68" s="67"/>
      <c r="R68" s="151"/>
      <c r="S68" s="149"/>
    </row>
    <row r="69" spans="1:19" x14ac:dyDescent="0.2">
      <c r="A69" s="571">
        <v>5</v>
      </c>
      <c r="B69" s="558" t="s">
        <v>80</v>
      </c>
      <c r="C69" s="140" t="s">
        <v>596</v>
      </c>
      <c r="D69" s="78">
        <v>11.45</v>
      </c>
      <c r="E69" s="543" t="s">
        <v>284</v>
      </c>
      <c r="F69" s="552" t="s">
        <v>246</v>
      </c>
      <c r="G69" s="79" t="s">
        <v>77</v>
      </c>
      <c r="H69" s="609" t="s">
        <v>78</v>
      </c>
      <c r="I69" s="589">
        <v>40811</v>
      </c>
      <c r="J69" s="589">
        <v>40899</v>
      </c>
      <c r="K69" s="577">
        <v>41022</v>
      </c>
      <c r="L69" s="588">
        <v>37645.800000000003</v>
      </c>
      <c r="M69" s="588"/>
      <c r="N69" s="716"/>
      <c r="O69" s="615"/>
      <c r="P69" s="580"/>
      <c r="Q69" s="571" t="s">
        <v>79</v>
      </c>
      <c r="R69" s="543" t="s">
        <v>271</v>
      </c>
      <c r="S69" s="543"/>
    </row>
    <row r="70" spans="1:19" x14ac:dyDescent="0.2">
      <c r="A70" s="572"/>
      <c r="B70" s="559"/>
      <c r="C70" s="140" t="s">
        <v>75</v>
      </c>
      <c r="D70" s="78">
        <v>3.5</v>
      </c>
      <c r="E70" s="545"/>
      <c r="F70" s="554"/>
      <c r="G70" s="79" t="s">
        <v>76</v>
      </c>
      <c r="H70" s="585"/>
      <c r="I70" s="591"/>
      <c r="J70" s="590"/>
      <c r="K70" s="578"/>
      <c r="L70" s="587"/>
      <c r="M70" s="587"/>
      <c r="N70" s="717"/>
      <c r="O70" s="617"/>
      <c r="P70" s="581"/>
      <c r="Q70" s="573"/>
      <c r="R70" s="545" t="s">
        <v>150</v>
      </c>
      <c r="S70" s="544"/>
    </row>
    <row r="71" spans="1:19" s="105" customFormat="1" x14ac:dyDescent="0.2">
      <c r="A71" s="573"/>
      <c r="B71" s="131"/>
      <c r="C71" s="140"/>
      <c r="D71" s="83">
        <f>SUM(D69:D70)</f>
        <v>14.95</v>
      </c>
      <c r="E71" s="151"/>
      <c r="F71" s="24"/>
      <c r="G71" s="63"/>
      <c r="H71" s="163"/>
      <c r="I71" s="81"/>
      <c r="J71" s="81"/>
      <c r="K71" s="82"/>
      <c r="L71" s="156"/>
      <c r="M71" s="153"/>
      <c r="N71" s="260"/>
      <c r="O71" s="140"/>
      <c r="P71" s="140"/>
      <c r="Q71" s="80"/>
      <c r="R71" s="151"/>
      <c r="S71" s="153"/>
    </row>
    <row r="72" spans="1:19" s="105" customFormat="1" ht="45" x14ac:dyDescent="0.2">
      <c r="A72" s="571">
        <v>2</v>
      </c>
      <c r="B72" s="20" t="s">
        <v>564</v>
      </c>
      <c r="C72" s="140" t="s">
        <v>563</v>
      </c>
      <c r="D72" s="84">
        <v>9.8000000000000007</v>
      </c>
      <c r="E72" s="152" t="s">
        <v>284</v>
      </c>
      <c r="F72" s="24" t="s">
        <v>246</v>
      </c>
      <c r="G72" s="79" t="s">
        <v>565</v>
      </c>
      <c r="H72" s="237" t="s">
        <v>566</v>
      </c>
      <c r="I72" s="104">
        <v>40811</v>
      </c>
      <c r="J72" s="104">
        <v>41005</v>
      </c>
      <c r="K72" s="106">
        <v>41096</v>
      </c>
      <c r="L72" s="167">
        <v>23760.799999999999</v>
      </c>
      <c r="M72" s="167">
        <v>22086.6</v>
      </c>
      <c r="N72" s="261">
        <v>100</v>
      </c>
      <c r="O72" s="239" t="s">
        <v>148</v>
      </c>
      <c r="P72" s="239"/>
      <c r="Q72" s="80" t="s">
        <v>9</v>
      </c>
      <c r="R72" s="152" t="s">
        <v>271</v>
      </c>
      <c r="S72" s="152"/>
    </row>
    <row r="73" spans="1:19" x14ac:dyDescent="0.2">
      <c r="A73" s="573"/>
      <c r="B73" s="174"/>
      <c r="C73" s="139"/>
      <c r="D73" s="95">
        <f>SUM(D72)</f>
        <v>9.8000000000000007</v>
      </c>
      <c r="E73" s="16"/>
      <c r="F73" s="36"/>
      <c r="G73" s="75"/>
      <c r="H73" s="161"/>
      <c r="I73" s="76"/>
      <c r="J73" s="76"/>
      <c r="K73" s="77"/>
      <c r="L73" s="165"/>
      <c r="M73" s="149"/>
      <c r="N73" s="262"/>
      <c r="O73" s="139"/>
      <c r="P73" s="139"/>
      <c r="Q73" s="67"/>
      <c r="R73" s="16"/>
      <c r="S73" s="149"/>
    </row>
    <row r="74" spans="1:19" s="105" customFormat="1" ht="45" x14ac:dyDescent="0.2">
      <c r="A74" s="571">
        <v>2</v>
      </c>
      <c r="B74" s="20" t="s">
        <v>414</v>
      </c>
      <c r="C74" s="140" t="s">
        <v>414</v>
      </c>
      <c r="D74" s="84">
        <v>6</v>
      </c>
      <c r="E74" s="152" t="s">
        <v>1949</v>
      </c>
      <c r="F74" s="24" t="s">
        <v>246</v>
      </c>
      <c r="G74" s="79" t="s">
        <v>415</v>
      </c>
      <c r="H74" s="237" t="s">
        <v>1074</v>
      </c>
      <c r="I74" s="104">
        <v>40811</v>
      </c>
      <c r="J74" s="104">
        <v>40927</v>
      </c>
      <c r="K74" s="104">
        <v>41018</v>
      </c>
      <c r="L74" s="167">
        <v>15368</v>
      </c>
      <c r="M74" s="167">
        <v>14874.05</v>
      </c>
      <c r="N74" s="261">
        <v>100</v>
      </c>
      <c r="O74" s="239" t="s">
        <v>216</v>
      </c>
      <c r="P74" s="239"/>
      <c r="Q74" s="80" t="s">
        <v>413</v>
      </c>
      <c r="R74" s="152" t="s">
        <v>271</v>
      </c>
      <c r="S74" s="152"/>
    </row>
    <row r="75" spans="1:19" x14ac:dyDescent="0.2">
      <c r="A75" s="573"/>
      <c r="B75" s="174"/>
      <c r="C75" s="139"/>
      <c r="D75" s="95">
        <f>SUM(D74)</f>
        <v>6</v>
      </c>
      <c r="E75" s="16"/>
      <c r="F75" s="36"/>
      <c r="G75" s="75"/>
      <c r="H75" s="161"/>
      <c r="I75" s="76"/>
      <c r="J75" s="76"/>
      <c r="K75" s="77"/>
      <c r="L75" s="165"/>
      <c r="M75" s="149"/>
      <c r="N75" s="262"/>
      <c r="O75" s="139"/>
      <c r="P75" s="139"/>
      <c r="Q75" s="67"/>
      <c r="R75" s="16"/>
      <c r="S75" s="149"/>
    </row>
    <row r="76" spans="1:19" s="105" customFormat="1" ht="45" x14ac:dyDescent="0.2">
      <c r="A76" s="571">
        <v>2</v>
      </c>
      <c r="B76" s="20" t="s">
        <v>2139</v>
      </c>
      <c r="C76" s="140" t="s">
        <v>111</v>
      </c>
      <c r="D76" s="84">
        <v>13</v>
      </c>
      <c r="E76" s="152" t="s">
        <v>1949</v>
      </c>
      <c r="F76" s="24" t="s">
        <v>246</v>
      </c>
      <c r="G76" s="79" t="s">
        <v>2175</v>
      </c>
      <c r="H76" s="237" t="s">
        <v>2001</v>
      </c>
      <c r="I76" s="104">
        <v>40811</v>
      </c>
      <c r="J76" s="104">
        <v>40906</v>
      </c>
      <c r="K76" s="104">
        <v>40997</v>
      </c>
      <c r="L76" s="167">
        <v>30510</v>
      </c>
      <c r="M76" s="167">
        <v>29002.43</v>
      </c>
      <c r="N76" s="261">
        <v>100</v>
      </c>
      <c r="O76" s="239" t="s">
        <v>1402</v>
      </c>
      <c r="P76" s="239"/>
      <c r="Q76" s="80" t="s">
        <v>2002</v>
      </c>
      <c r="R76" s="152" t="s">
        <v>271</v>
      </c>
      <c r="S76" s="152"/>
    </row>
    <row r="77" spans="1:19" x14ac:dyDescent="0.2">
      <c r="A77" s="573"/>
      <c r="B77" s="174"/>
      <c r="C77" s="139"/>
      <c r="D77" s="95">
        <f>SUM(D76)</f>
        <v>13</v>
      </c>
      <c r="E77" s="16"/>
      <c r="F77" s="36"/>
      <c r="G77" s="75"/>
      <c r="H77" s="161"/>
      <c r="I77" s="76"/>
      <c r="J77" s="76"/>
      <c r="K77" s="77"/>
      <c r="L77" s="165"/>
      <c r="M77" s="149"/>
      <c r="N77" s="262"/>
      <c r="O77" s="139"/>
      <c r="P77" s="139"/>
      <c r="Q77" s="67"/>
      <c r="R77" s="16"/>
      <c r="S77" s="149"/>
    </row>
    <row r="78" spans="1:19" x14ac:dyDescent="0.2">
      <c r="A78" s="571">
        <v>5</v>
      </c>
      <c r="B78" s="558" t="s">
        <v>557</v>
      </c>
      <c r="C78" s="140" t="s">
        <v>554</v>
      </c>
      <c r="D78" s="78">
        <v>3.5</v>
      </c>
      <c r="E78" s="543" t="s">
        <v>947</v>
      </c>
      <c r="F78" s="552" t="s">
        <v>246</v>
      </c>
      <c r="G78" s="79" t="s">
        <v>558</v>
      </c>
      <c r="H78" s="592" t="s">
        <v>1053</v>
      </c>
      <c r="I78" s="589">
        <v>40811</v>
      </c>
      <c r="J78" s="589"/>
      <c r="K78" s="577"/>
      <c r="L78" s="588">
        <v>30342</v>
      </c>
      <c r="M78" s="588"/>
      <c r="N78" s="716">
        <v>100</v>
      </c>
      <c r="O78" s="615" t="s">
        <v>1451</v>
      </c>
      <c r="P78" s="580"/>
      <c r="Q78" s="571" t="s">
        <v>562</v>
      </c>
      <c r="R78" s="543" t="s">
        <v>271</v>
      </c>
      <c r="S78" s="543"/>
    </row>
    <row r="79" spans="1:19" x14ac:dyDescent="0.2">
      <c r="A79" s="572"/>
      <c r="B79" s="613"/>
      <c r="C79" s="140" t="s">
        <v>555</v>
      </c>
      <c r="D79" s="78">
        <v>4</v>
      </c>
      <c r="E79" s="544"/>
      <c r="F79" s="553"/>
      <c r="G79" s="79" t="s">
        <v>560</v>
      </c>
      <c r="H79" s="593"/>
      <c r="I79" s="590"/>
      <c r="J79" s="590"/>
      <c r="K79" s="578"/>
      <c r="L79" s="586"/>
      <c r="M79" s="586"/>
      <c r="N79" s="717"/>
      <c r="O79" s="616"/>
      <c r="P79" s="581"/>
      <c r="Q79" s="572"/>
      <c r="R79" s="544"/>
      <c r="S79" s="544"/>
    </row>
    <row r="80" spans="1:19" x14ac:dyDescent="0.2">
      <c r="A80" s="572"/>
      <c r="B80" s="559"/>
      <c r="C80" s="140" t="s">
        <v>556</v>
      </c>
      <c r="D80" s="78">
        <v>5.8</v>
      </c>
      <c r="E80" s="545"/>
      <c r="F80" s="554"/>
      <c r="G80" s="79" t="s">
        <v>561</v>
      </c>
      <c r="H80" s="594"/>
      <c r="I80" s="591"/>
      <c r="J80" s="590"/>
      <c r="K80" s="578"/>
      <c r="L80" s="587"/>
      <c r="M80" s="587"/>
      <c r="N80" s="717"/>
      <c r="O80" s="617"/>
      <c r="P80" s="581"/>
      <c r="Q80" s="573"/>
      <c r="R80" s="545" t="s">
        <v>150</v>
      </c>
      <c r="S80" s="544"/>
    </row>
    <row r="81" spans="1:19" s="105" customFormat="1" x14ac:dyDescent="0.2">
      <c r="A81" s="573"/>
      <c r="B81" s="131"/>
      <c r="C81" s="140"/>
      <c r="D81" s="83">
        <f>SUM(D78:D80)</f>
        <v>13.3</v>
      </c>
      <c r="E81" s="151"/>
      <c r="F81" s="24"/>
      <c r="G81" s="63"/>
      <c r="H81" s="163"/>
      <c r="I81" s="81"/>
      <c r="J81" s="81"/>
      <c r="K81" s="82"/>
      <c r="L81" s="156"/>
      <c r="M81" s="153"/>
      <c r="N81" s="260"/>
      <c r="O81" s="140"/>
      <c r="P81" s="140"/>
      <c r="Q81" s="80"/>
      <c r="R81" s="151"/>
      <c r="S81" s="153"/>
    </row>
    <row r="82" spans="1:19" x14ac:dyDescent="0.2">
      <c r="A82" s="571">
        <v>5</v>
      </c>
      <c r="B82" s="558" t="s">
        <v>1778</v>
      </c>
      <c r="C82" s="140" t="s">
        <v>1776</v>
      </c>
      <c r="D82" s="78">
        <v>3</v>
      </c>
      <c r="E82" s="543" t="s">
        <v>947</v>
      </c>
      <c r="F82" s="552" t="s">
        <v>246</v>
      </c>
      <c r="G82" s="79" t="s">
        <v>1431</v>
      </c>
      <c r="H82" s="592" t="s">
        <v>903</v>
      </c>
      <c r="I82" s="589">
        <v>40811</v>
      </c>
      <c r="J82" s="589">
        <v>40905</v>
      </c>
      <c r="K82" s="577">
        <v>41027</v>
      </c>
      <c r="L82" s="588">
        <v>29662</v>
      </c>
      <c r="M82" s="588"/>
      <c r="N82" s="716"/>
      <c r="O82" s="615"/>
      <c r="P82" s="580"/>
      <c r="Q82" s="571" t="s">
        <v>1779</v>
      </c>
      <c r="R82" s="543" t="s">
        <v>271</v>
      </c>
      <c r="S82" s="543"/>
    </row>
    <row r="83" spans="1:19" x14ac:dyDescent="0.2">
      <c r="A83" s="572"/>
      <c r="B83" s="559"/>
      <c r="C83" s="140" t="s">
        <v>1777</v>
      </c>
      <c r="D83" s="78">
        <v>10</v>
      </c>
      <c r="E83" s="545"/>
      <c r="F83" s="554"/>
      <c r="G83" s="79" t="s">
        <v>2089</v>
      </c>
      <c r="H83" s="594"/>
      <c r="I83" s="591"/>
      <c r="J83" s="590"/>
      <c r="K83" s="578"/>
      <c r="L83" s="587"/>
      <c r="M83" s="587"/>
      <c r="N83" s="717"/>
      <c r="O83" s="617"/>
      <c r="P83" s="581"/>
      <c r="Q83" s="573"/>
      <c r="R83" s="545" t="s">
        <v>150</v>
      </c>
      <c r="S83" s="544"/>
    </row>
    <row r="84" spans="1:19" s="105" customFormat="1" x14ac:dyDescent="0.2">
      <c r="A84" s="573"/>
      <c r="B84" s="131"/>
      <c r="C84" s="140"/>
      <c r="D84" s="83">
        <f>SUM(D82:D83)</f>
        <v>13</v>
      </c>
      <c r="E84" s="151"/>
      <c r="F84" s="24"/>
      <c r="G84" s="63"/>
      <c r="H84" s="163"/>
      <c r="I84" s="81"/>
      <c r="J84" s="81"/>
      <c r="K84" s="82"/>
      <c r="L84" s="156"/>
      <c r="M84" s="153"/>
      <c r="N84" s="260"/>
      <c r="O84" s="140"/>
      <c r="P84" s="140"/>
      <c r="Q84" s="80"/>
      <c r="R84" s="151"/>
      <c r="S84" s="153"/>
    </row>
    <row r="85" spans="1:19" s="105" customFormat="1" ht="45" x14ac:dyDescent="0.2">
      <c r="A85" s="571">
        <v>2</v>
      </c>
      <c r="B85" s="20" t="s">
        <v>550</v>
      </c>
      <c r="C85" s="140" t="s">
        <v>550</v>
      </c>
      <c r="D85" s="84">
        <v>12</v>
      </c>
      <c r="E85" s="152" t="s">
        <v>286</v>
      </c>
      <c r="F85" s="24" t="s">
        <v>246</v>
      </c>
      <c r="G85" s="79" t="s">
        <v>551</v>
      </c>
      <c r="H85" s="237" t="s">
        <v>552</v>
      </c>
      <c r="I85" s="104">
        <v>40811</v>
      </c>
      <c r="J85" s="104">
        <v>40927</v>
      </c>
      <c r="K85" s="104">
        <v>41018</v>
      </c>
      <c r="L85" s="167">
        <v>26499</v>
      </c>
      <c r="M85" s="167">
        <v>23488.880000000001</v>
      </c>
      <c r="N85" s="261">
        <v>100</v>
      </c>
      <c r="O85" s="239" t="s">
        <v>1983</v>
      </c>
      <c r="P85" s="239"/>
      <c r="Q85" s="80" t="s">
        <v>553</v>
      </c>
      <c r="R85" s="152" t="s">
        <v>271</v>
      </c>
      <c r="S85" s="152"/>
    </row>
    <row r="86" spans="1:19" x14ac:dyDescent="0.2">
      <c r="A86" s="573"/>
      <c r="B86" s="174"/>
      <c r="C86" s="139"/>
      <c r="D86" s="95">
        <f>SUM(D85)</f>
        <v>12</v>
      </c>
      <c r="E86" s="16"/>
      <c r="F86" s="36"/>
      <c r="G86" s="75"/>
      <c r="H86" s="161"/>
      <c r="I86" s="76"/>
      <c r="J86" s="76"/>
      <c r="K86" s="77"/>
      <c r="L86" s="165"/>
      <c r="M86" s="149"/>
      <c r="N86" s="262"/>
      <c r="O86" s="139"/>
      <c r="P86" s="139"/>
      <c r="Q86" s="67"/>
      <c r="R86" s="16"/>
      <c r="S86" s="149"/>
    </row>
    <row r="87" spans="1:19" ht="21" customHeight="1" x14ac:dyDescent="0.2">
      <c r="A87" s="572">
        <v>5</v>
      </c>
      <c r="B87" s="558" t="s">
        <v>1372</v>
      </c>
      <c r="C87" s="230" t="s">
        <v>1046</v>
      </c>
      <c r="D87" s="78">
        <v>11.5</v>
      </c>
      <c r="E87" s="543" t="s">
        <v>947</v>
      </c>
      <c r="F87" s="552" t="s">
        <v>246</v>
      </c>
      <c r="G87" s="79" t="s">
        <v>1574</v>
      </c>
      <c r="H87" s="609" t="s">
        <v>1373</v>
      </c>
      <c r="I87" s="589">
        <v>40811</v>
      </c>
      <c r="J87" s="589">
        <v>40855</v>
      </c>
      <c r="K87" s="589">
        <v>40947</v>
      </c>
      <c r="L87" s="588">
        <v>34256</v>
      </c>
      <c r="M87" s="588">
        <v>34123.699999999997</v>
      </c>
      <c r="N87" s="716">
        <v>100</v>
      </c>
      <c r="O87" s="615" t="s">
        <v>895</v>
      </c>
      <c r="P87" s="580"/>
      <c r="Q87" s="571" t="s">
        <v>1374</v>
      </c>
      <c r="R87" s="543" t="s">
        <v>271</v>
      </c>
      <c r="S87" s="543"/>
    </row>
    <row r="88" spans="1:19" ht="21" customHeight="1" x14ac:dyDescent="0.2">
      <c r="A88" s="572"/>
      <c r="B88" s="613"/>
      <c r="C88" s="256" t="s">
        <v>1908</v>
      </c>
      <c r="D88" s="78">
        <v>11</v>
      </c>
      <c r="E88" s="544"/>
      <c r="F88" s="553"/>
      <c r="G88" s="257" t="s">
        <v>1576</v>
      </c>
      <c r="H88" s="584"/>
      <c r="I88" s="590"/>
      <c r="J88" s="590"/>
      <c r="K88" s="590"/>
      <c r="L88" s="586"/>
      <c r="M88" s="586"/>
      <c r="N88" s="717"/>
      <c r="O88" s="616"/>
      <c r="P88" s="581"/>
      <c r="Q88" s="572"/>
      <c r="R88" s="544"/>
      <c r="S88" s="544"/>
    </row>
    <row r="89" spans="1:19" ht="21.75" customHeight="1" x14ac:dyDescent="0.2">
      <c r="A89" s="572"/>
      <c r="B89" s="559"/>
      <c r="C89" s="140" t="s">
        <v>1836</v>
      </c>
      <c r="D89" s="78">
        <v>3</v>
      </c>
      <c r="E89" s="545"/>
      <c r="F89" s="554"/>
      <c r="G89" s="62" t="s">
        <v>1375</v>
      </c>
      <c r="H89" s="585"/>
      <c r="I89" s="591"/>
      <c r="J89" s="591"/>
      <c r="K89" s="591"/>
      <c r="L89" s="587"/>
      <c r="M89" s="587"/>
      <c r="N89" s="717"/>
      <c r="O89" s="617"/>
      <c r="P89" s="581"/>
      <c r="Q89" s="573"/>
      <c r="R89" s="545"/>
      <c r="S89" s="544"/>
    </row>
    <row r="90" spans="1:19" s="105" customFormat="1" x14ac:dyDescent="0.2">
      <c r="A90" s="573"/>
      <c r="B90" s="131"/>
      <c r="C90" s="140"/>
      <c r="D90" s="83">
        <f>SUM(D88:D89)</f>
        <v>14</v>
      </c>
      <c r="E90" s="151"/>
      <c r="F90" s="24"/>
      <c r="G90" s="63"/>
      <c r="H90" s="163"/>
      <c r="I90" s="81"/>
      <c r="J90" s="81"/>
      <c r="K90" s="82"/>
      <c r="L90" s="156"/>
      <c r="M90" s="153"/>
      <c r="N90" s="260"/>
      <c r="O90" s="140"/>
      <c r="P90" s="140"/>
      <c r="Q90" s="80"/>
      <c r="R90" s="151"/>
      <c r="S90" s="153"/>
    </row>
    <row r="91" spans="1:19" x14ac:dyDescent="0.2">
      <c r="A91" s="571">
        <v>5</v>
      </c>
      <c r="B91" s="558" t="s">
        <v>1387</v>
      </c>
      <c r="C91" s="140" t="s">
        <v>2052</v>
      </c>
      <c r="D91" s="78">
        <v>5.5</v>
      </c>
      <c r="E91" s="543" t="s">
        <v>1676</v>
      </c>
      <c r="F91" s="552" t="s">
        <v>246</v>
      </c>
      <c r="G91" s="79" t="s">
        <v>2055</v>
      </c>
      <c r="H91" s="592" t="s">
        <v>2051</v>
      </c>
      <c r="I91" s="589">
        <v>40811</v>
      </c>
      <c r="J91" s="589">
        <v>40897</v>
      </c>
      <c r="K91" s="589">
        <v>41019</v>
      </c>
      <c r="L91" s="588">
        <v>34620</v>
      </c>
      <c r="M91" s="588"/>
      <c r="N91" s="716"/>
      <c r="O91" s="615"/>
      <c r="P91" s="580"/>
      <c r="Q91" s="571" t="s">
        <v>1388</v>
      </c>
      <c r="R91" s="543" t="s">
        <v>271</v>
      </c>
      <c r="S91" s="543"/>
    </row>
    <row r="92" spans="1:19" x14ac:dyDescent="0.2">
      <c r="A92" s="572"/>
      <c r="B92" s="613"/>
      <c r="C92" s="140" t="s">
        <v>2053</v>
      </c>
      <c r="D92" s="78">
        <v>7.5</v>
      </c>
      <c r="E92" s="544"/>
      <c r="F92" s="553"/>
      <c r="G92" s="79" t="s">
        <v>93</v>
      </c>
      <c r="H92" s="593"/>
      <c r="I92" s="590"/>
      <c r="J92" s="590"/>
      <c r="K92" s="590"/>
      <c r="L92" s="586"/>
      <c r="M92" s="586"/>
      <c r="N92" s="717"/>
      <c r="O92" s="616"/>
      <c r="P92" s="581"/>
      <c r="Q92" s="572"/>
      <c r="R92" s="544"/>
      <c r="S92" s="544"/>
    </row>
    <row r="93" spans="1:19" x14ac:dyDescent="0.2">
      <c r="A93" s="572"/>
      <c r="B93" s="559"/>
      <c r="C93" s="140" t="s">
        <v>2054</v>
      </c>
      <c r="D93" s="78">
        <v>2</v>
      </c>
      <c r="E93" s="545"/>
      <c r="F93" s="554"/>
      <c r="G93" s="79" t="s">
        <v>2114</v>
      </c>
      <c r="H93" s="594"/>
      <c r="I93" s="591"/>
      <c r="J93" s="591"/>
      <c r="K93" s="591"/>
      <c r="L93" s="587"/>
      <c r="M93" s="587"/>
      <c r="N93" s="717"/>
      <c r="O93" s="617"/>
      <c r="P93" s="581"/>
      <c r="Q93" s="573"/>
      <c r="R93" s="545" t="s">
        <v>150</v>
      </c>
      <c r="S93" s="544"/>
    </row>
    <row r="94" spans="1:19" s="105" customFormat="1" x14ac:dyDescent="0.2">
      <c r="A94" s="573"/>
      <c r="B94" s="131"/>
      <c r="C94" s="140"/>
      <c r="D94" s="83">
        <f>SUM(D91:D93)</f>
        <v>15</v>
      </c>
      <c r="E94" s="151"/>
      <c r="F94" s="24"/>
      <c r="G94" s="63"/>
      <c r="H94" s="163"/>
      <c r="I94" s="81"/>
      <c r="J94" s="81"/>
      <c r="K94" s="82"/>
      <c r="L94" s="156"/>
      <c r="M94" s="153"/>
      <c r="N94" s="260"/>
      <c r="O94" s="140"/>
      <c r="P94" s="140"/>
      <c r="Q94" s="80"/>
      <c r="R94" s="151"/>
      <c r="S94" s="153"/>
    </row>
    <row r="95" spans="1:19" x14ac:dyDescent="0.2">
      <c r="A95" s="571">
        <v>5</v>
      </c>
      <c r="B95" s="558" t="s">
        <v>995</v>
      </c>
      <c r="C95" s="140" t="s">
        <v>993</v>
      </c>
      <c r="D95" s="78">
        <v>5.6</v>
      </c>
      <c r="E95" s="543" t="s">
        <v>1676</v>
      </c>
      <c r="F95" s="552" t="s">
        <v>246</v>
      </c>
      <c r="G95" s="79" t="s">
        <v>998</v>
      </c>
      <c r="H95" s="609" t="s">
        <v>996</v>
      </c>
      <c r="I95" s="589">
        <v>40811</v>
      </c>
      <c r="J95" s="589">
        <v>40919</v>
      </c>
      <c r="K95" s="589">
        <v>41010</v>
      </c>
      <c r="L95" s="588">
        <v>27487</v>
      </c>
      <c r="M95" s="588"/>
      <c r="N95" s="716"/>
      <c r="O95" s="615"/>
      <c r="P95" s="580"/>
      <c r="Q95" s="571" t="s">
        <v>997</v>
      </c>
      <c r="R95" s="543" t="s">
        <v>271</v>
      </c>
      <c r="S95" s="543"/>
    </row>
    <row r="96" spans="1:19" x14ac:dyDescent="0.2">
      <c r="A96" s="572"/>
      <c r="B96" s="559"/>
      <c r="C96" s="140" t="s">
        <v>994</v>
      </c>
      <c r="D96" s="78">
        <v>5.5</v>
      </c>
      <c r="E96" s="545"/>
      <c r="F96" s="554"/>
      <c r="G96" s="79" t="s">
        <v>999</v>
      </c>
      <c r="H96" s="585"/>
      <c r="I96" s="591"/>
      <c r="J96" s="591"/>
      <c r="K96" s="591"/>
      <c r="L96" s="587"/>
      <c r="M96" s="587"/>
      <c r="N96" s="717"/>
      <c r="O96" s="617"/>
      <c r="P96" s="581"/>
      <c r="Q96" s="573"/>
      <c r="R96" s="545" t="s">
        <v>150</v>
      </c>
      <c r="S96" s="544"/>
    </row>
    <row r="97" spans="1:19" s="105" customFormat="1" x14ac:dyDescent="0.2">
      <c r="A97" s="573"/>
      <c r="B97" s="131"/>
      <c r="C97" s="140"/>
      <c r="D97" s="83">
        <f>SUM(D95:D96)</f>
        <v>11.1</v>
      </c>
      <c r="E97" s="151"/>
      <c r="F97" s="24"/>
      <c r="G97" s="63"/>
      <c r="H97" s="163"/>
      <c r="I97" s="81"/>
      <c r="J97" s="81"/>
      <c r="K97" s="82"/>
      <c r="L97" s="156"/>
      <c r="M97" s="153"/>
      <c r="N97" s="260"/>
      <c r="O97" s="140"/>
      <c r="P97" s="140"/>
      <c r="Q97" s="80"/>
      <c r="R97" s="151"/>
      <c r="S97" s="153"/>
    </row>
    <row r="98" spans="1:19" s="105" customFormat="1" ht="45" x14ac:dyDescent="0.2">
      <c r="A98" s="571">
        <v>2</v>
      </c>
      <c r="B98" s="20" t="s">
        <v>1390</v>
      </c>
      <c r="C98" s="140" t="s">
        <v>1389</v>
      </c>
      <c r="D98" s="84">
        <v>6.8</v>
      </c>
      <c r="E98" s="152" t="s">
        <v>1676</v>
      </c>
      <c r="F98" s="24" t="s">
        <v>246</v>
      </c>
      <c r="G98" s="79" t="s">
        <v>1066</v>
      </c>
      <c r="H98" s="237" t="s">
        <v>2051</v>
      </c>
      <c r="I98" s="104">
        <v>40811</v>
      </c>
      <c r="J98" s="104">
        <v>40956</v>
      </c>
      <c r="K98" s="106">
        <v>41046</v>
      </c>
      <c r="L98" s="167">
        <v>15456.4</v>
      </c>
      <c r="M98" s="167">
        <v>15434.26</v>
      </c>
      <c r="N98" s="261">
        <v>100</v>
      </c>
      <c r="O98" s="239" t="s">
        <v>1523</v>
      </c>
      <c r="P98" s="239"/>
      <c r="Q98" s="80" t="s">
        <v>494</v>
      </c>
      <c r="R98" s="152" t="s">
        <v>271</v>
      </c>
      <c r="S98" s="152"/>
    </row>
    <row r="99" spans="1:19" x14ac:dyDescent="0.2">
      <c r="A99" s="573"/>
      <c r="B99" s="174"/>
      <c r="C99" s="139"/>
      <c r="D99" s="95">
        <f>SUM(D98)</f>
        <v>6.8</v>
      </c>
      <c r="E99" s="16"/>
      <c r="F99" s="36"/>
      <c r="G99" s="75"/>
      <c r="H99" s="161"/>
      <c r="I99" s="76"/>
      <c r="J99" s="76"/>
      <c r="K99" s="77"/>
      <c r="L99" s="165"/>
      <c r="M99" s="149"/>
      <c r="N99" s="262"/>
      <c r="O99" s="139"/>
      <c r="P99" s="139"/>
      <c r="Q99" s="67"/>
      <c r="R99" s="16"/>
      <c r="S99" s="149"/>
    </row>
    <row r="100" spans="1:19" x14ac:dyDescent="0.2">
      <c r="A100" s="571">
        <v>5</v>
      </c>
      <c r="B100" s="558" t="s">
        <v>105</v>
      </c>
      <c r="C100" s="140" t="s">
        <v>68</v>
      </c>
      <c r="D100" s="78">
        <v>4.2</v>
      </c>
      <c r="E100" s="543" t="s">
        <v>1676</v>
      </c>
      <c r="F100" s="552" t="s">
        <v>246</v>
      </c>
      <c r="G100" s="79" t="s">
        <v>1491</v>
      </c>
      <c r="H100" s="609" t="s">
        <v>1489</v>
      </c>
      <c r="I100" s="589">
        <v>40811</v>
      </c>
      <c r="J100" s="589">
        <v>40910</v>
      </c>
      <c r="K100" s="589">
        <v>41031</v>
      </c>
      <c r="L100" s="588">
        <v>31210.400000000001</v>
      </c>
      <c r="M100" s="588">
        <v>24861.16</v>
      </c>
      <c r="N100" s="716">
        <v>100</v>
      </c>
      <c r="O100" s="615" t="s">
        <v>215</v>
      </c>
      <c r="P100" s="580"/>
      <c r="Q100" s="571" t="s">
        <v>1490</v>
      </c>
      <c r="R100" s="543" t="s">
        <v>271</v>
      </c>
      <c r="S100" s="543"/>
    </row>
    <row r="101" spans="1:19" x14ac:dyDescent="0.2">
      <c r="A101" s="572"/>
      <c r="B101" s="613"/>
      <c r="C101" s="140" t="s">
        <v>71</v>
      </c>
      <c r="D101" s="78">
        <v>3.3</v>
      </c>
      <c r="E101" s="544"/>
      <c r="F101" s="553"/>
      <c r="G101" s="79" t="s">
        <v>1806</v>
      </c>
      <c r="H101" s="584"/>
      <c r="I101" s="590"/>
      <c r="J101" s="590"/>
      <c r="K101" s="590"/>
      <c r="L101" s="586"/>
      <c r="M101" s="586"/>
      <c r="N101" s="717"/>
      <c r="O101" s="616"/>
      <c r="P101" s="581"/>
      <c r="Q101" s="572"/>
      <c r="R101" s="544"/>
      <c r="S101" s="544"/>
    </row>
    <row r="102" spans="1:19" x14ac:dyDescent="0.2">
      <c r="A102" s="572"/>
      <c r="B102" s="613"/>
      <c r="C102" s="140" t="s">
        <v>72</v>
      </c>
      <c r="D102" s="78">
        <v>4</v>
      </c>
      <c r="E102" s="544"/>
      <c r="F102" s="553"/>
      <c r="G102" s="79" t="s">
        <v>1492</v>
      </c>
      <c r="H102" s="584"/>
      <c r="I102" s="590"/>
      <c r="J102" s="590"/>
      <c r="K102" s="590"/>
      <c r="L102" s="586"/>
      <c r="M102" s="586"/>
      <c r="N102" s="717"/>
      <c r="O102" s="616"/>
      <c r="P102" s="581"/>
      <c r="Q102" s="572"/>
      <c r="R102" s="544"/>
      <c r="S102" s="544"/>
    </row>
    <row r="103" spans="1:19" x14ac:dyDescent="0.2">
      <c r="A103" s="572"/>
      <c r="B103" s="559"/>
      <c r="C103" s="140" t="s">
        <v>73</v>
      </c>
      <c r="D103" s="78">
        <v>1.8</v>
      </c>
      <c r="E103" s="545"/>
      <c r="F103" s="554"/>
      <c r="G103" s="79" t="s">
        <v>1493</v>
      </c>
      <c r="H103" s="585"/>
      <c r="I103" s="591"/>
      <c r="J103" s="590"/>
      <c r="K103" s="590"/>
      <c r="L103" s="587"/>
      <c r="M103" s="587"/>
      <c r="N103" s="717"/>
      <c r="O103" s="617"/>
      <c r="P103" s="581"/>
      <c r="Q103" s="573"/>
      <c r="R103" s="545" t="s">
        <v>150</v>
      </c>
      <c r="S103" s="544"/>
    </row>
    <row r="104" spans="1:19" s="105" customFormat="1" x14ac:dyDescent="0.2">
      <c r="A104" s="573"/>
      <c r="B104" s="131"/>
      <c r="C104" s="140"/>
      <c r="D104" s="83">
        <f>SUM(D100:D103)</f>
        <v>13.3</v>
      </c>
      <c r="E104" s="151"/>
      <c r="F104" s="24"/>
      <c r="G104" s="63"/>
      <c r="H104" s="163"/>
      <c r="I104" s="81"/>
      <c r="J104" s="81"/>
      <c r="K104" s="82"/>
      <c r="L104" s="156"/>
      <c r="M104" s="153"/>
      <c r="N104" s="260"/>
      <c r="O104" s="140"/>
      <c r="P104" s="140"/>
      <c r="Q104" s="80"/>
      <c r="R104" s="151"/>
      <c r="S104" s="153"/>
    </row>
    <row r="105" spans="1:19" ht="20.25" customHeight="1" x14ac:dyDescent="0.2">
      <c r="A105" s="571">
        <v>5</v>
      </c>
      <c r="B105" s="558" t="s">
        <v>1569</v>
      </c>
      <c r="C105" s="140" t="s">
        <v>1567</v>
      </c>
      <c r="D105" s="78">
        <v>6.5</v>
      </c>
      <c r="E105" s="543" t="s">
        <v>1676</v>
      </c>
      <c r="F105" s="552" t="s">
        <v>246</v>
      </c>
      <c r="G105" s="79" t="s">
        <v>1572</v>
      </c>
      <c r="H105" s="609" t="s">
        <v>1570</v>
      </c>
      <c r="I105" s="589">
        <v>40811</v>
      </c>
      <c r="J105" s="589">
        <v>40892</v>
      </c>
      <c r="K105" s="589">
        <v>40983</v>
      </c>
      <c r="L105" s="588">
        <v>27504</v>
      </c>
      <c r="M105" s="588">
        <v>16756.23</v>
      </c>
      <c r="N105" s="716">
        <v>100</v>
      </c>
      <c r="O105" s="615" t="s">
        <v>2118</v>
      </c>
      <c r="P105" s="580"/>
      <c r="Q105" s="571" t="s">
        <v>1571</v>
      </c>
      <c r="R105" s="543" t="s">
        <v>271</v>
      </c>
      <c r="S105" s="543"/>
    </row>
    <row r="106" spans="1:19" ht="20.25" customHeight="1" x14ac:dyDescent="0.2">
      <c r="A106" s="572"/>
      <c r="B106" s="559"/>
      <c r="C106" s="140" t="s">
        <v>1568</v>
      </c>
      <c r="D106" s="78">
        <v>5.5</v>
      </c>
      <c r="E106" s="545"/>
      <c r="F106" s="554"/>
      <c r="G106" s="79" t="s">
        <v>1573</v>
      </c>
      <c r="H106" s="585"/>
      <c r="I106" s="591"/>
      <c r="J106" s="591"/>
      <c r="K106" s="591"/>
      <c r="L106" s="587"/>
      <c r="M106" s="587"/>
      <c r="N106" s="717"/>
      <c r="O106" s="617"/>
      <c r="P106" s="581"/>
      <c r="Q106" s="573"/>
      <c r="R106" s="545" t="s">
        <v>150</v>
      </c>
      <c r="S106" s="544"/>
    </row>
    <row r="107" spans="1:19" s="105" customFormat="1" x14ac:dyDescent="0.2">
      <c r="A107" s="573"/>
      <c r="B107" s="131"/>
      <c r="C107" s="140"/>
      <c r="D107" s="83">
        <f>SUM(D105:D106)</f>
        <v>12</v>
      </c>
      <c r="E107" s="151"/>
      <c r="F107" s="24"/>
      <c r="G107" s="63"/>
      <c r="H107" s="163"/>
      <c r="I107" s="81"/>
      <c r="J107" s="81"/>
      <c r="K107" s="82"/>
      <c r="L107" s="156"/>
      <c r="M107" s="153"/>
      <c r="N107" s="260"/>
      <c r="O107" s="140"/>
      <c r="P107" s="140"/>
      <c r="Q107" s="80"/>
      <c r="R107" s="151"/>
      <c r="S107" s="153"/>
    </row>
    <row r="108" spans="1:19" s="105" customFormat="1" ht="45" x14ac:dyDescent="0.2">
      <c r="A108" s="659"/>
      <c r="B108" s="20" t="s">
        <v>2003</v>
      </c>
      <c r="C108" s="20" t="s">
        <v>2003</v>
      </c>
      <c r="D108" s="96">
        <v>6.2</v>
      </c>
      <c r="E108" s="152" t="s">
        <v>1676</v>
      </c>
      <c r="F108" s="24" t="s">
        <v>246</v>
      </c>
      <c r="G108" s="62" t="s">
        <v>2004</v>
      </c>
      <c r="H108" s="237" t="s">
        <v>2041</v>
      </c>
      <c r="I108" s="104">
        <v>40811</v>
      </c>
      <c r="J108" s="104">
        <v>40896</v>
      </c>
      <c r="K108" s="104">
        <v>40987</v>
      </c>
      <c r="L108" s="167">
        <v>14157.1</v>
      </c>
      <c r="M108" s="167">
        <v>9003.7000000000007</v>
      </c>
      <c r="N108" s="261">
        <v>100</v>
      </c>
      <c r="O108" s="119" t="s">
        <v>216</v>
      </c>
      <c r="P108" s="107"/>
      <c r="Q108" s="80" t="s">
        <v>345</v>
      </c>
      <c r="R108" s="152" t="s">
        <v>271</v>
      </c>
      <c r="S108" s="152"/>
    </row>
    <row r="109" spans="1:19" ht="12.75" customHeight="1" x14ac:dyDescent="0.2">
      <c r="A109" s="564"/>
      <c r="B109" s="131"/>
      <c r="C109" s="139"/>
      <c r="D109" s="95">
        <f>SUM(D108:D108)</f>
        <v>6.2</v>
      </c>
      <c r="E109" s="151"/>
      <c r="F109" s="36"/>
      <c r="G109" s="75"/>
      <c r="H109" s="163"/>
      <c r="I109" s="104"/>
      <c r="J109" s="76"/>
      <c r="K109" s="77"/>
      <c r="L109" s="156"/>
      <c r="M109" s="149"/>
      <c r="N109" s="262"/>
      <c r="O109" s="139"/>
      <c r="P109" s="139"/>
      <c r="Q109" s="67"/>
      <c r="R109" s="151"/>
      <c r="S109" s="149"/>
    </row>
    <row r="110" spans="1:19" x14ac:dyDescent="0.2">
      <c r="A110" s="571">
        <v>5</v>
      </c>
      <c r="B110" s="558" t="s">
        <v>2251</v>
      </c>
      <c r="C110" s="140" t="s">
        <v>346</v>
      </c>
      <c r="D110" s="78">
        <v>4.3</v>
      </c>
      <c r="E110" s="543" t="s">
        <v>1676</v>
      </c>
      <c r="F110" s="552" t="s">
        <v>246</v>
      </c>
      <c r="G110" s="79" t="s">
        <v>299</v>
      </c>
      <c r="H110" s="609" t="s">
        <v>1647</v>
      </c>
      <c r="I110" s="589">
        <v>40811</v>
      </c>
      <c r="J110" s="589">
        <v>40882</v>
      </c>
      <c r="K110" s="589">
        <v>40973</v>
      </c>
      <c r="L110" s="588">
        <v>27786.6</v>
      </c>
      <c r="M110" s="588">
        <v>25706.639999999999</v>
      </c>
      <c r="N110" s="716">
        <v>100</v>
      </c>
      <c r="O110" s="615" t="s">
        <v>1983</v>
      </c>
      <c r="P110" s="580"/>
      <c r="Q110" s="571" t="s">
        <v>2250</v>
      </c>
      <c r="R110" s="543" t="s">
        <v>271</v>
      </c>
      <c r="S110" s="543"/>
    </row>
    <row r="111" spans="1:19" x14ac:dyDescent="0.2">
      <c r="A111" s="572"/>
      <c r="B111" s="613"/>
      <c r="C111" s="140" t="s">
        <v>347</v>
      </c>
      <c r="D111" s="78">
        <v>2.6</v>
      </c>
      <c r="E111" s="544"/>
      <c r="F111" s="553"/>
      <c r="G111" s="79" t="s">
        <v>2248</v>
      </c>
      <c r="H111" s="584"/>
      <c r="I111" s="590"/>
      <c r="J111" s="590"/>
      <c r="K111" s="590"/>
      <c r="L111" s="586"/>
      <c r="M111" s="586"/>
      <c r="N111" s="717"/>
      <c r="O111" s="616"/>
      <c r="P111" s="581"/>
      <c r="Q111" s="572"/>
      <c r="R111" s="544"/>
      <c r="S111" s="544"/>
    </row>
    <row r="112" spans="1:19" x14ac:dyDescent="0.2">
      <c r="A112" s="572"/>
      <c r="B112" s="559"/>
      <c r="C112" s="140" t="s">
        <v>1015</v>
      </c>
      <c r="D112" s="78">
        <v>4.9000000000000004</v>
      </c>
      <c r="E112" s="545"/>
      <c r="F112" s="554"/>
      <c r="G112" s="79" t="s">
        <v>2249</v>
      </c>
      <c r="H112" s="585"/>
      <c r="I112" s="591"/>
      <c r="J112" s="591"/>
      <c r="K112" s="591"/>
      <c r="L112" s="587"/>
      <c r="M112" s="587"/>
      <c r="N112" s="717"/>
      <c r="O112" s="617"/>
      <c r="P112" s="581"/>
      <c r="Q112" s="573"/>
      <c r="R112" s="545" t="s">
        <v>150</v>
      </c>
      <c r="S112" s="544"/>
    </row>
    <row r="113" spans="1:19" s="105" customFormat="1" x14ac:dyDescent="0.2">
      <c r="A113" s="573"/>
      <c r="B113" s="131"/>
      <c r="C113" s="140"/>
      <c r="D113" s="83">
        <f>SUM(D110:D112)</f>
        <v>11.8</v>
      </c>
      <c r="E113" s="151"/>
      <c r="F113" s="24"/>
      <c r="G113" s="63"/>
      <c r="H113" s="163"/>
      <c r="I113" s="81"/>
      <c r="J113" s="81"/>
      <c r="K113" s="82"/>
      <c r="L113" s="156"/>
      <c r="M113" s="153"/>
      <c r="N113" s="260"/>
      <c r="O113" s="140"/>
      <c r="P113" s="140"/>
      <c r="Q113" s="80"/>
      <c r="R113" s="151"/>
      <c r="S113" s="153"/>
    </row>
    <row r="114" spans="1:19" s="105" customFormat="1" ht="45" x14ac:dyDescent="0.2">
      <c r="A114" s="571">
        <v>2</v>
      </c>
      <c r="B114" s="20" t="s">
        <v>495</v>
      </c>
      <c r="C114" s="140" t="s">
        <v>495</v>
      </c>
      <c r="D114" s="84">
        <v>13</v>
      </c>
      <c r="E114" s="152" t="s">
        <v>1676</v>
      </c>
      <c r="F114" s="24" t="s">
        <v>246</v>
      </c>
      <c r="G114" s="79" t="s">
        <v>496</v>
      </c>
      <c r="H114" s="237" t="s">
        <v>2164</v>
      </c>
      <c r="I114" s="104">
        <v>40811</v>
      </c>
      <c r="J114" s="104">
        <v>40896</v>
      </c>
      <c r="K114" s="106">
        <v>41018</v>
      </c>
      <c r="L114" s="167">
        <v>29906</v>
      </c>
      <c r="M114" s="167">
        <v>27390.2</v>
      </c>
      <c r="N114" s="261">
        <v>100</v>
      </c>
      <c r="O114" s="239" t="s">
        <v>1402</v>
      </c>
      <c r="P114" s="239"/>
      <c r="Q114" s="80" t="s">
        <v>497</v>
      </c>
      <c r="R114" s="152" t="s">
        <v>271</v>
      </c>
      <c r="S114" s="152"/>
    </row>
    <row r="115" spans="1:19" x14ac:dyDescent="0.2">
      <c r="A115" s="573"/>
      <c r="B115" s="174"/>
      <c r="C115" s="139"/>
      <c r="D115" s="95">
        <f>SUM(D114)</f>
        <v>13</v>
      </c>
      <c r="E115" s="16"/>
      <c r="F115" s="36"/>
      <c r="G115" s="75"/>
      <c r="H115" s="161"/>
      <c r="I115" s="76"/>
      <c r="J115" s="76"/>
      <c r="K115" s="77"/>
      <c r="L115" s="165"/>
      <c r="M115" s="149"/>
      <c r="N115" s="262"/>
      <c r="O115" s="139"/>
      <c r="P115" s="139"/>
      <c r="Q115" s="67"/>
      <c r="R115" s="16"/>
      <c r="S115" s="149"/>
    </row>
    <row r="116" spans="1:19" s="105" customFormat="1" ht="45" x14ac:dyDescent="0.2">
      <c r="A116" s="659"/>
      <c r="B116" s="20" t="s">
        <v>1998</v>
      </c>
      <c r="C116" s="20" t="s">
        <v>1998</v>
      </c>
      <c r="D116" s="96">
        <v>6</v>
      </c>
      <c r="E116" s="152" t="s">
        <v>1676</v>
      </c>
      <c r="F116" s="24" t="s">
        <v>246</v>
      </c>
      <c r="G116" s="62" t="s">
        <v>117</v>
      </c>
      <c r="H116" s="237" t="s">
        <v>1999</v>
      </c>
      <c r="I116" s="104">
        <v>40811</v>
      </c>
      <c r="J116" s="104">
        <v>40896</v>
      </c>
      <c r="K116" s="104">
        <v>40987</v>
      </c>
      <c r="L116" s="167">
        <v>14153</v>
      </c>
      <c r="M116" s="167">
        <v>14069.4</v>
      </c>
      <c r="N116" s="261">
        <v>100</v>
      </c>
      <c r="O116" s="119" t="s">
        <v>1825</v>
      </c>
      <c r="P116" s="107"/>
      <c r="Q116" s="80" t="s">
        <v>2000</v>
      </c>
      <c r="R116" s="152" t="s">
        <v>271</v>
      </c>
      <c r="S116" s="152"/>
    </row>
    <row r="117" spans="1:19" ht="12.75" customHeight="1" x14ac:dyDescent="0.2">
      <c r="A117" s="564"/>
      <c r="B117" s="131"/>
      <c r="C117" s="139"/>
      <c r="D117" s="95">
        <f>SUM(D116:D116)</f>
        <v>6</v>
      </c>
      <c r="E117" s="151"/>
      <c r="F117" s="36"/>
      <c r="G117" s="75"/>
      <c r="H117" s="163"/>
      <c r="I117" s="104"/>
      <c r="J117" s="76"/>
      <c r="K117" s="77"/>
      <c r="L117" s="156"/>
      <c r="M117" s="149"/>
      <c r="N117" s="262"/>
      <c r="O117" s="139"/>
      <c r="P117" s="139"/>
      <c r="Q117" s="67"/>
      <c r="R117" s="151"/>
      <c r="S117" s="149"/>
    </row>
    <row r="118" spans="1:19" ht="22.5" customHeight="1" x14ac:dyDescent="0.2">
      <c r="A118" s="571">
        <v>5</v>
      </c>
      <c r="B118" s="558" t="s">
        <v>990</v>
      </c>
      <c r="C118" s="140" t="s">
        <v>2228</v>
      </c>
      <c r="D118" s="78">
        <v>6.4</v>
      </c>
      <c r="E118" s="543" t="s">
        <v>1676</v>
      </c>
      <c r="F118" s="552" t="s">
        <v>246</v>
      </c>
      <c r="G118" s="79" t="s">
        <v>1440</v>
      </c>
      <c r="H118" s="609" t="s">
        <v>991</v>
      </c>
      <c r="I118" s="589">
        <v>40811</v>
      </c>
      <c r="J118" s="589"/>
      <c r="K118" s="577"/>
      <c r="L118" s="588">
        <v>24688.400000000001</v>
      </c>
      <c r="M118" s="588"/>
      <c r="N118" s="716">
        <v>100</v>
      </c>
      <c r="O118" s="615" t="s">
        <v>1158</v>
      </c>
      <c r="P118" s="580"/>
      <c r="Q118" s="571" t="s">
        <v>992</v>
      </c>
      <c r="R118" s="543" t="s">
        <v>271</v>
      </c>
      <c r="S118" s="543"/>
    </row>
    <row r="119" spans="1:19" ht="21" customHeight="1" x14ac:dyDescent="0.2">
      <c r="A119" s="572"/>
      <c r="B119" s="559"/>
      <c r="C119" s="140" t="s">
        <v>2229</v>
      </c>
      <c r="D119" s="78">
        <v>4.4000000000000004</v>
      </c>
      <c r="E119" s="545"/>
      <c r="F119" s="554"/>
      <c r="G119" s="79" t="s">
        <v>1441</v>
      </c>
      <c r="H119" s="585"/>
      <c r="I119" s="591"/>
      <c r="J119" s="590"/>
      <c r="K119" s="578"/>
      <c r="L119" s="587"/>
      <c r="M119" s="587"/>
      <c r="N119" s="717"/>
      <c r="O119" s="617"/>
      <c r="P119" s="581"/>
      <c r="Q119" s="573"/>
      <c r="R119" s="545" t="s">
        <v>150</v>
      </c>
      <c r="S119" s="544"/>
    </row>
    <row r="120" spans="1:19" s="105" customFormat="1" x14ac:dyDescent="0.2">
      <c r="A120" s="573"/>
      <c r="B120" s="131"/>
      <c r="C120" s="140"/>
      <c r="D120" s="83">
        <f>SUM(D118:D119)</f>
        <v>10.8</v>
      </c>
      <c r="E120" s="151"/>
      <c r="F120" s="24"/>
      <c r="G120" s="63"/>
      <c r="H120" s="163"/>
      <c r="I120" s="81"/>
      <c r="J120" s="81"/>
      <c r="K120" s="82"/>
      <c r="L120" s="156"/>
      <c r="M120" s="153"/>
      <c r="N120" s="260"/>
      <c r="O120" s="140"/>
      <c r="P120" s="140"/>
      <c r="Q120" s="80"/>
      <c r="R120" s="151"/>
      <c r="S120" s="153"/>
    </row>
    <row r="121" spans="1:19" s="105" customFormat="1" ht="45" x14ac:dyDescent="0.2">
      <c r="A121" s="659"/>
      <c r="B121" s="20" t="s">
        <v>280</v>
      </c>
      <c r="C121" s="20" t="s">
        <v>280</v>
      </c>
      <c r="D121" s="96">
        <v>6.7</v>
      </c>
      <c r="E121" s="152" t="s">
        <v>1676</v>
      </c>
      <c r="F121" s="24" t="s">
        <v>246</v>
      </c>
      <c r="G121" s="62" t="s">
        <v>1443</v>
      </c>
      <c r="H121" s="237" t="s">
        <v>281</v>
      </c>
      <c r="I121" s="104">
        <v>40811</v>
      </c>
      <c r="J121" s="104">
        <v>40872</v>
      </c>
      <c r="K121" s="104">
        <v>40964</v>
      </c>
      <c r="L121" s="167">
        <v>16305</v>
      </c>
      <c r="M121" s="167">
        <v>16203.31</v>
      </c>
      <c r="N121" s="261">
        <v>100</v>
      </c>
      <c r="O121" s="119" t="s">
        <v>2100</v>
      </c>
      <c r="P121" s="107"/>
      <c r="Q121" s="80" t="s">
        <v>282</v>
      </c>
      <c r="R121" s="152" t="s">
        <v>271</v>
      </c>
      <c r="S121" s="152"/>
    </row>
    <row r="122" spans="1:19" ht="12.75" customHeight="1" x14ac:dyDescent="0.2">
      <c r="A122" s="564"/>
      <c r="B122" s="131"/>
      <c r="C122" s="139"/>
      <c r="D122" s="95">
        <f>SUM(D121:D121)</f>
        <v>6.7</v>
      </c>
      <c r="E122" s="151"/>
      <c r="F122" s="36"/>
      <c r="G122" s="75"/>
      <c r="H122" s="163"/>
      <c r="I122" s="104"/>
      <c r="J122" s="76"/>
      <c r="K122" s="77"/>
      <c r="L122" s="156"/>
      <c r="M122" s="149"/>
      <c r="N122" s="262"/>
      <c r="O122" s="139"/>
      <c r="P122" s="139"/>
      <c r="Q122" s="67"/>
      <c r="R122" s="151"/>
      <c r="S122" s="149"/>
    </row>
    <row r="123" spans="1:19" x14ac:dyDescent="0.2">
      <c r="A123" s="572">
        <v>1</v>
      </c>
      <c r="B123" s="613" t="s">
        <v>2047</v>
      </c>
      <c r="C123" s="139" t="s">
        <v>2029</v>
      </c>
      <c r="D123" s="90">
        <v>2.7</v>
      </c>
      <c r="E123" s="543" t="s">
        <v>1521</v>
      </c>
      <c r="F123" s="552" t="s">
        <v>246</v>
      </c>
      <c r="G123" s="224" t="s">
        <v>1811</v>
      </c>
      <c r="H123" s="592" t="s">
        <v>2048</v>
      </c>
      <c r="I123" s="589">
        <v>40813</v>
      </c>
      <c r="J123" s="589">
        <v>40996</v>
      </c>
      <c r="K123" s="577">
        <v>41117</v>
      </c>
      <c r="L123" s="588">
        <v>35964</v>
      </c>
      <c r="M123" s="588"/>
      <c r="N123" s="716"/>
      <c r="O123" s="615"/>
      <c r="P123" s="580"/>
      <c r="Q123" s="571" t="s">
        <v>2028</v>
      </c>
      <c r="R123" s="543" t="s">
        <v>271</v>
      </c>
      <c r="S123" s="543"/>
    </row>
    <row r="124" spans="1:19" x14ac:dyDescent="0.2">
      <c r="A124" s="572"/>
      <c r="B124" s="613"/>
      <c r="C124" s="139" t="s">
        <v>2030</v>
      </c>
      <c r="D124" s="78">
        <v>5.7</v>
      </c>
      <c r="E124" s="544"/>
      <c r="F124" s="553"/>
      <c r="G124" s="62" t="s">
        <v>1578</v>
      </c>
      <c r="H124" s="593"/>
      <c r="I124" s="590"/>
      <c r="J124" s="590"/>
      <c r="K124" s="578"/>
      <c r="L124" s="586"/>
      <c r="M124" s="586"/>
      <c r="N124" s="717"/>
      <c r="O124" s="616"/>
      <c r="P124" s="581"/>
      <c r="Q124" s="572"/>
      <c r="R124" s="544"/>
      <c r="S124" s="544"/>
    </row>
    <row r="125" spans="1:19" x14ac:dyDescent="0.2">
      <c r="A125" s="572"/>
      <c r="B125" s="613"/>
      <c r="C125" s="139" t="s">
        <v>2033</v>
      </c>
      <c r="D125" s="78">
        <v>6.7</v>
      </c>
      <c r="E125" s="544"/>
      <c r="F125" s="553"/>
      <c r="G125" s="79" t="s">
        <v>66</v>
      </c>
      <c r="H125" s="593"/>
      <c r="I125" s="590"/>
      <c r="J125" s="590"/>
      <c r="K125" s="578"/>
      <c r="L125" s="586"/>
      <c r="M125" s="586"/>
      <c r="N125" s="717"/>
      <c r="O125" s="616"/>
      <c r="P125" s="581"/>
      <c r="Q125" s="572"/>
      <c r="R125" s="544"/>
      <c r="S125" s="544"/>
    </row>
    <row r="126" spans="1:19" x14ac:dyDescent="0.2">
      <c r="A126" s="572"/>
      <c r="B126" s="613"/>
      <c r="C126" s="139" t="s">
        <v>2045</v>
      </c>
      <c r="D126" s="78">
        <v>1.5</v>
      </c>
      <c r="E126" s="544"/>
      <c r="F126" s="553"/>
      <c r="G126" s="79" t="s">
        <v>67</v>
      </c>
      <c r="H126" s="593"/>
      <c r="I126" s="590"/>
      <c r="J126" s="590"/>
      <c r="K126" s="578"/>
      <c r="L126" s="587"/>
      <c r="M126" s="586"/>
      <c r="N126" s="717"/>
      <c r="O126" s="616"/>
      <c r="P126" s="581"/>
      <c r="Q126" s="572"/>
      <c r="R126" s="544"/>
      <c r="S126" s="544"/>
    </row>
    <row r="127" spans="1:19" x14ac:dyDescent="0.2">
      <c r="A127" s="573"/>
      <c r="B127" s="20"/>
      <c r="C127" s="140"/>
      <c r="D127" s="83">
        <f>SUM(D123:D126)</f>
        <v>16.600000000000001</v>
      </c>
      <c r="E127" s="152"/>
      <c r="F127" s="24"/>
      <c r="G127" s="63"/>
      <c r="H127" s="160"/>
      <c r="I127" s="81"/>
      <c r="J127" s="81"/>
      <c r="K127" s="82"/>
      <c r="L127" s="165"/>
      <c r="M127" s="153"/>
      <c r="N127" s="260"/>
      <c r="O127" s="140"/>
      <c r="P127" s="140"/>
      <c r="Q127" s="80"/>
      <c r="R127" s="152"/>
      <c r="S127" s="153"/>
    </row>
    <row r="128" spans="1:19" s="105" customFormat="1" ht="45" x14ac:dyDescent="0.2">
      <c r="A128" s="571">
        <v>2</v>
      </c>
      <c r="B128" s="20" t="s">
        <v>1376</v>
      </c>
      <c r="C128" s="140" t="s">
        <v>1376</v>
      </c>
      <c r="D128" s="84">
        <v>11</v>
      </c>
      <c r="E128" s="152" t="s">
        <v>286</v>
      </c>
      <c r="F128" s="24" t="s">
        <v>246</v>
      </c>
      <c r="G128" s="79" t="s">
        <v>1378</v>
      </c>
      <c r="H128" s="237" t="s">
        <v>1377</v>
      </c>
      <c r="I128" s="104">
        <v>40811</v>
      </c>
      <c r="J128" s="104">
        <v>40870</v>
      </c>
      <c r="K128" s="104">
        <v>40962</v>
      </c>
      <c r="L128" s="167">
        <v>25274</v>
      </c>
      <c r="M128" s="167">
        <v>24669.37</v>
      </c>
      <c r="N128" s="261">
        <v>100</v>
      </c>
      <c r="O128" s="239" t="s">
        <v>1983</v>
      </c>
      <c r="P128" s="239"/>
      <c r="Q128" s="80" t="s">
        <v>1379</v>
      </c>
      <c r="R128" s="152" t="s">
        <v>271</v>
      </c>
      <c r="S128" s="152"/>
    </row>
    <row r="129" spans="1:19" x14ac:dyDescent="0.2">
      <c r="A129" s="573"/>
      <c r="B129" s="174"/>
      <c r="C129" s="139"/>
      <c r="D129" s="95">
        <f>SUM(D128)</f>
        <v>11</v>
      </c>
      <c r="E129" s="16"/>
      <c r="F129" s="36"/>
      <c r="G129" s="75"/>
      <c r="H129" s="161"/>
      <c r="I129" s="76"/>
      <c r="J129" s="76"/>
      <c r="K129" s="77"/>
      <c r="L129" s="165"/>
      <c r="M129" s="149"/>
      <c r="N129" s="262"/>
      <c r="O129" s="139"/>
      <c r="P129" s="139"/>
      <c r="Q129" s="67"/>
      <c r="R129" s="16"/>
      <c r="S129" s="149"/>
    </row>
    <row r="130" spans="1:19" x14ac:dyDescent="0.2">
      <c r="A130" s="572">
        <v>1</v>
      </c>
      <c r="B130" s="613" t="s">
        <v>106</v>
      </c>
      <c r="C130" s="139" t="s">
        <v>781</v>
      </c>
      <c r="D130" s="90">
        <v>5.3</v>
      </c>
      <c r="E130" s="543" t="s">
        <v>284</v>
      </c>
      <c r="F130" s="552" t="s">
        <v>246</v>
      </c>
      <c r="G130" s="224" t="s">
        <v>1078</v>
      </c>
      <c r="H130" s="592" t="s">
        <v>780</v>
      </c>
      <c r="I130" s="589">
        <v>40813</v>
      </c>
      <c r="J130" s="589">
        <v>40885</v>
      </c>
      <c r="K130" s="589">
        <v>41007</v>
      </c>
      <c r="L130" s="588">
        <v>43053</v>
      </c>
      <c r="M130" s="588">
        <v>37714.68</v>
      </c>
      <c r="N130" s="716">
        <v>100</v>
      </c>
      <c r="O130" s="615" t="s">
        <v>2010</v>
      </c>
      <c r="P130" s="580"/>
      <c r="Q130" s="571" t="s">
        <v>108</v>
      </c>
      <c r="R130" s="543" t="s">
        <v>271</v>
      </c>
      <c r="S130" s="543"/>
    </row>
    <row r="131" spans="1:19" x14ac:dyDescent="0.2">
      <c r="A131" s="572"/>
      <c r="B131" s="613"/>
      <c r="C131" s="139" t="s">
        <v>782</v>
      </c>
      <c r="D131" s="78">
        <v>1.5</v>
      </c>
      <c r="E131" s="544"/>
      <c r="F131" s="553"/>
      <c r="G131" s="62" t="s">
        <v>890</v>
      </c>
      <c r="H131" s="593"/>
      <c r="I131" s="590"/>
      <c r="J131" s="590"/>
      <c r="K131" s="590"/>
      <c r="L131" s="586"/>
      <c r="M131" s="586"/>
      <c r="N131" s="717"/>
      <c r="O131" s="616"/>
      <c r="P131" s="581"/>
      <c r="Q131" s="572"/>
      <c r="R131" s="544"/>
      <c r="S131" s="544"/>
    </row>
    <row r="132" spans="1:19" x14ac:dyDescent="0.2">
      <c r="A132" s="572"/>
      <c r="B132" s="613"/>
      <c r="C132" s="258" t="s">
        <v>783</v>
      </c>
      <c r="D132" s="78">
        <v>1.5</v>
      </c>
      <c r="E132" s="544"/>
      <c r="F132" s="553"/>
      <c r="G132" s="79" t="s">
        <v>1079</v>
      </c>
      <c r="H132" s="593"/>
      <c r="I132" s="590"/>
      <c r="J132" s="590"/>
      <c r="K132" s="590"/>
      <c r="L132" s="586"/>
      <c r="M132" s="586"/>
      <c r="N132" s="717"/>
      <c r="O132" s="616"/>
      <c r="P132" s="581"/>
      <c r="Q132" s="572"/>
      <c r="R132" s="544"/>
      <c r="S132" s="544"/>
    </row>
    <row r="133" spans="1:19" x14ac:dyDescent="0.2">
      <c r="A133" s="572"/>
      <c r="B133" s="613"/>
      <c r="C133" s="258" t="s">
        <v>784</v>
      </c>
      <c r="D133" s="78">
        <v>0.8</v>
      </c>
      <c r="E133" s="544"/>
      <c r="F133" s="553"/>
      <c r="G133" s="79" t="s">
        <v>1080</v>
      </c>
      <c r="H133" s="593"/>
      <c r="I133" s="590"/>
      <c r="J133" s="590"/>
      <c r="K133" s="590"/>
      <c r="L133" s="586"/>
      <c r="M133" s="586"/>
      <c r="N133" s="717"/>
      <c r="O133" s="616"/>
      <c r="P133" s="581"/>
      <c r="Q133" s="572"/>
      <c r="R133" s="544"/>
      <c r="S133" s="544"/>
    </row>
    <row r="134" spans="1:19" x14ac:dyDescent="0.2">
      <c r="A134" s="572"/>
      <c r="B134" s="613"/>
      <c r="C134" s="258" t="s">
        <v>2049</v>
      </c>
      <c r="D134" s="78">
        <v>3</v>
      </c>
      <c r="E134" s="544"/>
      <c r="F134" s="553"/>
      <c r="G134" s="79" t="s">
        <v>1081</v>
      </c>
      <c r="H134" s="593"/>
      <c r="I134" s="590"/>
      <c r="J134" s="590"/>
      <c r="K134" s="590"/>
      <c r="L134" s="586"/>
      <c r="M134" s="586"/>
      <c r="N134" s="717"/>
      <c r="O134" s="616"/>
      <c r="P134" s="581"/>
      <c r="Q134" s="572"/>
      <c r="R134" s="544"/>
      <c r="S134" s="544"/>
    </row>
    <row r="135" spans="1:19" x14ac:dyDescent="0.2">
      <c r="A135" s="572"/>
      <c r="B135" s="613"/>
      <c r="C135" s="227" t="s">
        <v>89</v>
      </c>
      <c r="D135" s="78">
        <v>3.4</v>
      </c>
      <c r="E135" s="544"/>
      <c r="F135" s="553"/>
      <c r="G135" s="62" t="s">
        <v>1912</v>
      </c>
      <c r="H135" s="593"/>
      <c r="I135" s="590"/>
      <c r="J135" s="590"/>
      <c r="K135" s="590"/>
      <c r="L135" s="586"/>
      <c r="M135" s="586"/>
      <c r="N135" s="717"/>
      <c r="O135" s="616"/>
      <c r="P135" s="581"/>
      <c r="Q135" s="572"/>
      <c r="R135" s="544"/>
      <c r="S135" s="544"/>
    </row>
    <row r="136" spans="1:19" x14ac:dyDescent="0.2">
      <c r="A136" s="572"/>
      <c r="B136" s="559"/>
      <c r="C136" s="140" t="s">
        <v>2050</v>
      </c>
      <c r="D136" s="78">
        <v>5.2</v>
      </c>
      <c r="E136" s="545"/>
      <c r="F136" s="554"/>
      <c r="G136" s="63" t="s">
        <v>1082</v>
      </c>
      <c r="H136" s="593" t="s">
        <v>855</v>
      </c>
      <c r="I136" s="590"/>
      <c r="J136" s="590"/>
      <c r="K136" s="590"/>
      <c r="L136" s="587"/>
      <c r="M136" s="587"/>
      <c r="N136" s="717"/>
      <c r="O136" s="616"/>
      <c r="P136" s="581"/>
      <c r="Q136" s="572"/>
      <c r="R136" s="545" t="s">
        <v>150</v>
      </c>
      <c r="S136" s="544"/>
    </row>
    <row r="137" spans="1:19" x14ac:dyDescent="0.2">
      <c r="A137" s="573"/>
      <c r="B137" s="20"/>
      <c r="C137" s="140"/>
      <c r="D137" s="83">
        <f>SUM(D130:D136)</f>
        <v>20.700000000000003</v>
      </c>
      <c r="E137" s="152"/>
      <c r="F137" s="24"/>
      <c r="G137" s="63"/>
      <c r="H137" s="160"/>
      <c r="I137" s="81"/>
      <c r="J137" s="81"/>
      <c r="K137" s="82"/>
      <c r="L137" s="165"/>
      <c r="M137" s="153"/>
      <c r="N137" s="260"/>
      <c r="O137" s="140"/>
      <c r="P137" s="140"/>
      <c r="Q137" s="80"/>
      <c r="R137" s="152"/>
      <c r="S137" s="153"/>
    </row>
    <row r="138" spans="1:19" s="105" customFormat="1" ht="45" x14ac:dyDescent="0.2">
      <c r="A138" s="571">
        <v>2</v>
      </c>
      <c r="B138" s="20" t="s">
        <v>1159</v>
      </c>
      <c r="C138" s="140" t="s">
        <v>111</v>
      </c>
      <c r="D138" s="84">
        <v>12.2</v>
      </c>
      <c r="E138" s="152" t="s">
        <v>284</v>
      </c>
      <c r="F138" s="24" t="s">
        <v>246</v>
      </c>
      <c r="G138" s="79" t="s">
        <v>2175</v>
      </c>
      <c r="H138" s="237" t="s">
        <v>109</v>
      </c>
      <c r="I138" s="104">
        <v>40813</v>
      </c>
      <c r="J138" s="104">
        <v>40933</v>
      </c>
      <c r="K138" s="106">
        <v>41054</v>
      </c>
      <c r="L138" s="167">
        <v>28704</v>
      </c>
      <c r="M138" s="167">
        <v>28235.13</v>
      </c>
      <c r="N138" s="261">
        <v>100</v>
      </c>
      <c r="O138" s="239" t="s">
        <v>2137</v>
      </c>
      <c r="P138" s="239"/>
      <c r="Q138" s="80" t="s">
        <v>110</v>
      </c>
      <c r="R138" s="152" t="str">
        <f>R130</f>
        <v>GOG</v>
      </c>
      <c r="S138" s="152"/>
    </row>
    <row r="139" spans="1:19" x14ac:dyDescent="0.2">
      <c r="A139" s="573"/>
      <c r="B139" s="174"/>
      <c r="C139" s="139"/>
      <c r="D139" s="95">
        <f>SUM(D138)</f>
        <v>12.2</v>
      </c>
      <c r="E139" s="16"/>
      <c r="F139" s="36"/>
      <c r="G139" s="75"/>
      <c r="H139" s="161"/>
      <c r="I139" s="76"/>
      <c r="J139" s="76"/>
      <c r="K139" s="77"/>
      <c r="L139" s="165"/>
      <c r="M139" s="149"/>
      <c r="N139" s="262"/>
      <c r="O139" s="139"/>
      <c r="P139" s="139"/>
      <c r="Q139" s="67"/>
      <c r="R139" s="16"/>
      <c r="S139" s="149"/>
    </row>
    <row r="140" spans="1:19" ht="15" customHeight="1" x14ac:dyDescent="0.2">
      <c r="A140" s="563">
        <v>3</v>
      </c>
      <c r="B140" s="558" t="s">
        <v>1802</v>
      </c>
      <c r="C140" s="140" t="s">
        <v>704</v>
      </c>
      <c r="D140" s="78">
        <v>5.6</v>
      </c>
      <c r="E140" s="543" t="s">
        <v>1676</v>
      </c>
      <c r="F140" s="552" t="s">
        <v>246</v>
      </c>
      <c r="G140" s="79" t="s">
        <v>1805</v>
      </c>
      <c r="H140" s="609" t="s">
        <v>1803</v>
      </c>
      <c r="I140" s="589">
        <v>40813</v>
      </c>
      <c r="J140" s="589">
        <v>40878</v>
      </c>
      <c r="K140" s="577">
        <v>41026</v>
      </c>
      <c r="L140" s="588">
        <v>41702</v>
      </c>
      <c r="M140" s="588">
        <v>40030.870000000003</v>
      </c>
      <c r="N140" s="716">
        <v>100</v>
      </c>
      <c r="O140" s="615" t="s">
        <v>569</v>
      </c>
      <c r="P140" s="603"/>
      <c r="Q140" s="571" t="s">
        <v>1804</v>
      </c>
      <c r="R140" s="543" t="s">
        <v>271</v>
      </c>
      <c r="S140" s="543"/>
    </row>
    <row r="141" spans="1:19" x14ac:dyDescent="0.2">
      <c r="A141" s="659"/>
      <c r="B141" s="613"/>
      <c r="C141" s="140" t="s">
        <v>2138</v>
      </c>
      <c r="D141" s="78">
        <v>4.2</v>
      </c>
      <c r="E141" s="544"/>
      <c r="F141" s="553"/>
      <c r="G141" s="62" t="s">
        <v>1912</v>
      </c>
      <c r="H141" s="584"/>
      <c r="I141" s="590"/>
      <c r="J141" s="590"/>
      <c r="K141" s="578"/>
      <c r="L141" s="586"/>
      <c r="M141" s="586"/>
      <c r="N141" s="717"/>
      <c r="O141" s="616"/>
      <c r="P141" s="604"/>
      <c r="Q141" s="572"/>
      <c r="R141" s="544"/>
      <c r="S141" s="544"/>
    </row>
    <row r="142" spans="1:19" x14ac:dyDescent="0.2">
      <c r="A142" s="659"/>
      <c r="B142" s="559"/>
      <c r="C142" s="140" t="s">
        <v>1801</v>
      </c>
      <c r="D142" s="78">
        <v>7.2</v>
      </c>
      <c r="E142" s="545"/>
      <c r="F142" s="553"/>
      <c r="G142" s="79" t="s">
        <v>1806</v>
      </c>
      <c r="H142" s="585"/>
      <c r="I142" s="590"/>
      <c r="J142" s="590"/>
      <c r="K142" s="578"/>
      <c r="L142" s="587"/>
      <c r="M142" s="586"/>
      <c r="N142" s="717"/>
      <c r="O142" s="617"/>
      <c r="P142" s="604"/>
      <c r="Q142" s="572"/>
      <c r="R142" s="545"/>
      <c r="S142" s="544"/>
    </row>
    <row r="143" spans="1:19" x14ac:dyDescent="0.2">
      <c r="A143" s="564"/>
      <c r="B143" s="138"/>
      <c r="C143" s="140"/>
      <c r="D143" s="83">
        <f>SUM(D140:D142)</f>
        <v>17</v>
      </c>
      <c r="E143" s="16"/>
      <c r="F143" s="24"/>
      <c r="G143" s="63"/>
      <c r="H143" s="161"/>
      <c r="I143" s="81"/>
      <c r="J143" s="81"/>
      <c r="K143" s="82"/>
      <c r="L143" s="165"/>
      <c r="M143" s="153"/>
      <c r="N143" s="260"/>
      <c r="O143" s="140"/>
      <c r="P143" s="140"/>
      <c r="Q143" s="80"/>
      <c r="R143" s="16"/>
      <c r="S143" s="153"/>
    </row>
    <row r="144" spans="1:19" ht="12.75" customHeight="1" x14ac:dyDescent="0.2">
      <c r="A144" s="571">
        <v>4</v>
      </c>
      <c r="B144" s="558" t="s">
        <v>1454</v>
      </c>
      <c r="C144" s="140" t="s">
        <v>512</v>
      </c>
      <c r="D144" s="78">
        <v>2.4</v>
      </c>
      <c r="E144" s="543" t="s">
        <v>533</v>
      </c>
      <c r="F144" s="552" t="s">
        <v>246</v>
      </c>
      <c r="G144" s="79" t="s">
        <v>1456</v>
      </c>
      <c r="H144" s="609" t="s">
        <v>1455</v>
      </c>
      <c r="I144" s="589">
        <v>40813</v>
      </c>
      <c r="J144" s="589">
        <v>40914</v>
      </c>
      <c r="K144" s="589">
        <v>41035</v>
      </c>
      <c r="L144" s="588">
        <v>33760.800000000003</v>
      </c>
      <c r="M144" s="588">
        <v>28737.78</v>
      </c>
      <c r="N144" s="716">
        <v>100</v>
      </c>
      <c r="O144" s="580" t="s">
        <v>1420</v>
      </c>
      <c r="P144" s="580"/>
      <c r="Q144" s="571" t="s">
        <v>1460</v>
      </c>
      <c r="R144" s="543" t="s">
        <v>271</v>
      </c>
      <c r="S144" s="543"/>
    </row>
    <row r="145" spans="1:19" ht="12.75" customHeight="1" x14ac:dyDescent="0.2">
      <c r="A145" s="572"/>
      <c r="B145" s="613"/>
      <c r="C145" s="140" t="s">
        <v>1968</v>
      </c>
      <c r="D145" s="78">
        <v>5</v>
      </c>
      <c r="E145" s="544"/>
      <c r="F145" s="553"/>
      <c r="G145" s="79" t="s">
        <v>1457</v>
      </c>
      <c r="H145" s="584"/>
      <c r="I145" s="590"/>
      <c r="J145" s="590"/>
      <c r="K145" s="590"/>
      <c r="L145" s="586"/>
      <c r="M145" s="586"/>
      <c r="N145" s="717"/>
      <c r="O145" s="581"/>
      <c r="P145" s="581"/>
      <c r="Q145" s="572"/>
      <c r="R145" s="544"/>
      <c r="S145" s="544"/>
    </row>
    <row r="146" spans="1:19" ht="12.75" customHeight="1" x14ac:dyDescent="0.2">
      <c r="A146" s="572"/>
      <c r="B146" s="613"/>
      <c r="C146" s="140" t="s">
        <v>1969</v>
      </c>
      <c r="D146" s="78">
        <v>1.7</v>
      </c>
      <c r="E146" s="544"/>
      <c r="F146" s="553"/>
      <c r="G146" s="79" t="s">
        <v>1458</v>
      </c>
      <c r="H146" s="584"/>
      <c r="I146" s="590"/>
      <c r="J146" s="590"/>
      <c r="K146" s="590"/>
      <c r="L146" s="586"/>
      <c r="M146" s="586"/>
      <c r="N146" s="717"/>
      <c r="O146" s="581"/>
      <c r="P146" s="581"/>
      <c r="Q146" s="572"/>
      <c r="R146" s="544"/>
      <c r="S146" s="544"/>
    </row>
    <row r="147" spans="1:19" ht="12.75" customHeight="1" x14ac:dyDescent="0.2">
      <c r="A147" s="572"/>
      <c r="B147" s="613"/>
      <c r="C147" s="140" t="s">
        <v>1452</v>
      </c>
      <c r="D147" s="78">
        <v>1</v>
      </c>
      <c r="E147" s="544"/>
      <c r="F147" s="553"/>
      <c r="G147" s="79" t="s">
        <v>1459</v>
      </c>
      <c r="H147" s="584"/>
      <c r="I147" s="590"/>
      <c r="J147" s="590"/>
      <c r="K147" s="590"/>
      <c r="L147" s="586"/>
      <c r="M147" s="586"/>
      <c r="N147" s="717"/>
      <c r="O147" s="581"/>
      <c r="P147" s="581"/>
      <c r="Q147" s="572"/>
      <c r="R147" s="544"/>
      <c r="S147" s="544"/>
    </row>
    <row r="148" spans="1:19" x14ac:dyDescent="0.2">
      <c r="A148" s="572"/>
      <c r="B148" s="559"/>
      <c r="C148" s="140" t="s">
        <v>1453</v>
      </c>
      <c r="D148" s="78">
        <v>4.5</v>
      </c>
      <c r="E148" s="545"/>
      <c r="F148" s="554"/>
      <c r="G148" s="79" t="s">
        <v>1650</v>
      </c>
      <c r="H148" s="585"/>
      <c r="I148" s="591"/>
      <c r="J148" s="591"/>
      <c r="K148" s="591"/>
      <c r="L148" s="587"/>
      <c r="M148" s="587"/>
      <c r="N148" s="717"/>
      <c r="O148" s="605"/>
      <c r="P148" s="605"/>
      <c r="Q148" s="573"/>
      <c r="R148" s="545"/>
      <c r="S148" s="544"/>
    </row>
    <row r="149" spans="1:19" x14ac:dyDescent="0.2">
      <c r="A149" s="573"/>
      <c r="B149" s="138"/>
      <c r="C149" s="140"/>
      <c r="D149" s="83">
        <f>SUM(D144:D148)</f>
        <v>14.6</v>
      </c>
      <c r="E149" s="16"/>
      <c r="F149" s="24"/>
      <c r="G149" s="63"/>
      <c r="H149" s="161"/>
      <c r="I149" s="81"/>
      <c r="J149" s="81"/>
      <c r="K149" s="82"/>
      <c r="L149" s="165"/>
      <c r="M149" s="153"/>
      <c r="N149" s="260"/>
      <c r="O149" s="140"/>
      <c r="P149" s="140"/>
      <c r="Q149" s="80"/>
      <c r="R149" s="16"/>
      <c r="S149" s="153"/>
    </row>
    <row r="150" spans="1:19" ht="19.5" customHeight="1" x14ac:dyDescent="0.2">
      <c r="A150" s="571">
        <v>5</v>
      </c>
      <c r="B150" s="558" t="s">
        <v>1772</v>
      </c>
      <c r="C150" s="140" t="s">
        <v>578</v>
      </c>
      <c r="D150" s="78">
        <v>6</v>
      </c>
      <c r="E150" s="543" t="s">
        <v>947</v>
      </c>
      <c r="F150" s="552" t="s">
        <v>246</v>
      </c>
      <c r="G150" s="79" t="s">
        <v>115</v>
      </c>
      <c r="H150" s="609" t="s">
        <v>112</v>
      </c>
      <c r="I150" s="589">
        <v>40813</v>
      </c>
      <c r="J150" s="589">
        <v>40867</v>
      </c>
      <c r="K150" s="589">
        <v>40988</v>
      </c>
      <c r="L150" s="588">
        <v>33052</v>
      </c>
      <c r="M150" s="588">
        <v>33042.61</v>
      </c>
      <c r="N150" s="716">
        <v>100</v>
      </c>
      <c r="O150" s="615" t="s">
        <v>592</v>
      </c>
      <c r="P150" s="580"/>
      <c r="Q150" s="571" t="s">
        <v>113</v>
      </c>
      <c r="R150" s="543" t="str">
        <f>R138</f>
        <v>GOG</v>
      </c>
      <c r="S150" s="543"/>
    </row>
    <row r="151" spans="1:19" ht="21" customHeight="1" x14ac:dyDescent="0.2">
      <c r="A151" s="572"/>
      <c r="B151" s="559"/>
      <c r="C151" s="140" t="s">
        <v>114</v>
      </c>
      <c r="D151" s="78">
        <v>7</v>
      </c>
      <c r="E151" s="545"/>
      <c r="F151" s="554"/>
      <c r="G151" s="79" t="s">
        <v>116</v>
      </c>
      <c r="H151" s="585"/>
      <c r="I151" s="591"/>
      <c r="J151" s="591"/>
      <c r="K151" s="591"/>
      <c r="L151" s="587"/>
      <c r="M151" s="587"/>
      <c r="N151" s="717"/>
      <c r="O151" s="617"/>
      <c r="P151" s="581"/>
      <c r="Q151" s="573"/>
      <c r="R151" s="545" t="s">
        <v>150</v>
      </c>
      <c r="S151" s="544"/>
    </row>
    <row r="152" spans="1:19" x14ac:dyDescent="0.2">
      <c r="A152" s="573"/>
      <c r="B152" s="138"/>
      <c r="C152" s="140"/>
      <c r="D152" s="83">
        <f>SUM(D150:D151)</f>
        <v>13</v>
      </c>
      <c r="E152" s="16"/>
      <c r="F152" s="24"/>
      <c r="G152" s="63"/>
      <c r="H152" s="161"/>
      <c r="I152" s="81"/>
      <c r="J152" s="81"/>
      <c r="K152" s="82"/>
      <c r="L152" s="165"/>
      <c r="M152" s="153"/>
      <c r="N152" s="260"/>
      <c r="O152" s="140"/>
      <c r="P152" s="140"/>
      <c r="Q152" s="80"/>
      <c r="R152" s="16"/>
      <c r="S152" s="153"/>
    </row>
    <row r="153" spans="1:19" x14ac:dyDescent="0.2">
      <c r="A153" s="563">
        <v>7</v>
      </c>
      <c r="B153" s="558" t="s">
        <v>1728</v>
      </c>
      <c r="C153" s="140" t="s">
        <v>1807</v>
      </c>
      <c r="D153" s="78">
        <v>5</v>
      </c>
      <c r="E153" s="543" t="s">
        <v>284</v>
      </c>
      <c r="F153" s="552" t="s">
        <v>246</v>
      </c>
      <c r="G153" s="79" t="s">
        <v>1729</v>
      </c>
      <c r="H153" s="606" t="s">
        <v>1053</v>
      </c>
      <c r="I153" s="589">
        <v>40813</v>
      </c>
      <c r="J153" s="589">
        <v>40906</v>
      </c>
      <c r="K153" s="589">
        <v>41028</v>
      </c>
      <c r="L153" s="588">
        <v>28460</v>
      </c>
      <c r="M153" s="588">
        <v>27926.46</v>
      </c>
      <c r="N153" s="716">
        <v>100</v>
      </c>
      <c r="O153" s="603" t="s">
        <v>1822</v>
      </c>
      <c r="P153" s="603"/>
      <c r="Q153" s="571" t="s">
        <v>1054</v>
      </c>
      <c r="R153" s="543" t="str">
        <f>R140</f>
        <v>GOG</v>
      </c>
      <c r="S153" s="543"/>
    </row>
    <row r="154" spans="1:19" x14ac:dyDescent="0.2">
      <c r="A154" s="659"/>
      <c r="B154" s="613"/>
      <c r="C154" s="140" t="s">
        <v>1808</v>
      </c>
      <c r="D154" s="78">
        <v>3.4</v>
      </c>
      <c r="E154" s="544"/>
      <c r="F154" s="553"/>
      <c r="G154" s="62" t="s">
        <v>1912</v>
      </c>
      <c r="H154" s="607"/>
      <c r="I154" s="590"/>
      <c r="J154" s="590"/>
      <c r="K154" s="590"/>
      <c r="L154" s="586"/>
      <c r="M154" s="586"/>
      <c r="N154" s="717"/>
      <c r="O154" s="604"/>
      <c r="P154" s="604"/>
      <c r="Q154" s="572"/>
      <c r="R154" s="544"/>
      <c r="S154" s="544"/>
    </row>
    <row r="155" spans="1:19" x14ac:dyDescent="0.2">
      <c r="A155" s="659"/>
      <c r="B155" s="559"/>
      <c r="C155" s="140" t="s">
        <v>691</v>
      </c>
      <c r="D155" s="78">
        <v>2.8</v>
      </c>
      <c r="E155" s="545"/>
      <c r="F155" s="553"/>
      <c r="G155" s="79" t="s">
        <v>449</v>
      </c>
      <c r="H155" s="608"/>
      <c r="I155" s="590"/>
      <c r="J155" s="590"/>
      <c r="K155" s="590"/>
      <c r="L155" s="587"/>
      <c r="M155" s="586"/>
      <c r="N155" s="717"/>
      <c r="O155" s="604"/>
      <c r="P155" s="604"/>
      <c r="Q155" s="572"/>
      <c r="R155" s="545" t="s">
        <v>150</v>
      </c>
      <c r="S155" s="544"/>
    </row>
    <row r="156" spans="1:19" x14ac:dyDescent="0.2">
      <c r="A156" s="564"/>
      <c r="B156" s="138"/>
      <c r="C156" s="140"/>
      <c r="D156" s="83">
        <f>SUM(D153:D155)</f>
        <v>11.2</v>
      </c>
      <c r="E156" s="16"/>
      <c r="F156" s="24"/>
      <c r="G156" s="63"/>
      <c r="H156" s="161"/>
      <c r="I156" s="81"/>
      <c r="J156" s="81"/>
      <c r="K156" s="82"/>
      <c r="L156" s="165"/>
      <c r="M156" s="153"/>
      <c r="N156" s="260"/>
      <c r="O156" s="140"/>
      <c r="P156" s="140"/>
      <c r="Q156" s="80"/>
      <c r="R156" s="16"/>
      <c r="S156" s="153"/>
    </row>
    <row r="157" spans="1:19" ht="12.75" customHeight="1" x14ac:dyDescent="0.2">
      <c r="A157" s="571"/>
      <c r="B157" s="558" t="s">
        <v>2177</v>
      </c>
      <c r="C157" s="145" t="s">
        <v>2177</v>
      </c>
      <c r="D157" s="90">
        <v>3.7</v>
      </c>
      <c r="E157" s="543" t="s">
        <v>1521</v>
      </c>
      <c r="F157" s="552" t="s">
        <v>246</v>
      </c>
      <c r="G157" s="63" t="s">
        <v>1296</v>
      </c>
      <c r="H157" s="549" t="s">
        <v>1055</v>
      </c>
      <c r="I157" s="599">
        <v>40813</v>
      </c>
      <c r="J157" s="589">
        <v>40898</v>
      </c>
      <c r="K157" s="577">
        <v>41022</v>
      </c>
      <c r="L157" s="574">
        <v>34594.400000000001</v>
      </c>
      <c r="M157" s="574"/>
      <c r="N157" s="724"/>
      <c r="O157" s="580"/>
      <c r="P157" s="580"/>
      <c r="Q157" s="571" t="s">
        <v>875</v>
      </c>
      <c r="R157" s="543" t="s">
        <v>271</v>
      </c>
      <c r="S157" s="704"/>
    </row>
    <row r="158" spans="1:19" ht="12.75" customHeight="1" x14ac:dyDescent="0.2">
      <c r="A158" s="572"/>
      <c r="B158" s="613"/>
      <c r="C158" s="145" t="s">
        <v>1812</v>
      </c>
      <c r="D158" s="78">
        <v>2.7</v>
      </c>
      <c r="E158" s="544"/>
      <c r="F158" s="553"/>
      <c r="G158" s="63" t="s">
        <v>1297</v>
      </c>
      <c r="H158" s="550"/>
      <c r="I158" s="597"/>
      <c r="J158" s="590"/>
      <c r="K158" s="578"/>
      <c r="L158" s="575"/>
      <c r="M158" s="575"/>
      <c r="N158" s="725"/>
      <c r="O158" s="581"/>
      <c r="P158" s="581"/>
      <c r="Q158" s="572"/>
      <c r="R158" s="544"/>
      <c r="S158" s="705"/>
    </row>
    <row r="159" spans="1:19" ht="12.75" customHeight="1" x14ac:dyDescent="0.2">
      <c r="A159" s="572"/>
      <c r="B159" s="613"/>
      <c r="C159" s="225" t="s">
        <v>1813</v>
      </c>
      <c r="D159" s="78">
        <v>5.3</v>
      </c>
      <c r="E159" s="544"/>
      <c r="F159" s="553"/>
      <c r="G159" s="63" t="s">
        <v>1512</v>
      </c>
      <c r="H159" s="550"/>
      <c r="I159" s="597"/>
      <c r="J159" s="590"/>
      <c r="K159" s="578"/>
      <c r="L159" s="575"/>
      <c r="M159" s="575"/>
      <c r="N159" s="725"/>
      <c r="O159" s="581"/>
      <c r="P159" s="581"/>
      <c r="Q159" s="572"/>
      <c r="R159" s="544"/>
      <c r="S159" s="705"/>
    </row>
    <row r="160" spans="1:19" ht="13.5" customHeight="1" x14ac:dyDescent="0.2">
      <c r="A160" s="572"/>
      <c r="B160" s="559"/>
      <c r="C160" s="225" t="s">
        <v>1814</v>
      </c>
      <c r="D160" s="78">
        <v>3.6</v>
      </c>
      <c r="E160" s="545"/>
      <c r="F160" s="554"/>
      <c r="G160" s="63" t="s">
        <v>1912</v>
      </c>
      <c r="H160" s="551"/>
      <c r="I160" s="598"/>
      <c r="J160" s="591"/>
      <c r="K160" s="579"/>
      <c r="L160" s="576"/>
      <c r="M160" s="576"/>
      <c r="N160" s="726"/>
      <c r="O160" s="605"/>
      <c r="P160" s="605"/>
      <c r="Q160" s="573"/>
      <c r="R160" s="545"/>
      <c r="S160" s="706"/>
    </row>
    <row r="161" spans="1:19" x14ac:dyDescent="0.2">
      <c r="A161" s="573"/>
      <c r="B161" s="138"/>
      <c r="C161" s="140"/>
      <c r="D161" s="95">
        <f>SUM(D157:D160)</f>
        <v>15.299999999999999</v>
      </c>
      <c r="E161" s="16"/>
      <c r="F161" s="24"/>
      <c r="G161" s="63"/>
      <c r="H161" s="130"/>
      <c r="I161" s="81"/>
      <c r="J161" s="81"/>
      <c r="K161" s="82"/>
      <c r="L161" s="152"/>
      <c r="M161" s="153"/>
      <c r="N161" s="260"/>
      <c r="O161" s="140"/>
      <c r="P161" s="140"/>
      <c r="Q161" s="80"/>
      <c r="R161" s="16"/>
      <c r="S161" s="153"/>
    </row>
    <row r="162" spans="1:19" x14ac:dyDescent="0.2">
      <c r="A162" s="571"/>
      <c r="B162" s="558" t="s">
        <v>2176</v>
      </c>
      <c r="C162" s="140" t="s">
        <v>2176</v>
      </c>
      <c r="D162" s="90">
        <v>3.2</v>
      </c>
      <c r="E162" s="543" t="s">
        <v>1521</v>
      </c>
      <c r="F162" s="552" t="s">
        <v>246</v>
      </c>
      <c r="G162" s="63" t="s">
        <v>1294</v>
      </c>
      <c r="H162" s="552" t="s">
        <v>892</v>
      </c>
      <c r="I162" s="589">
        <v>40813</v>
      </c>
      <c r="J162" s="589">
        <v>40848</v>
      </c>
      <c r="K162" s="589">
        <v>40969</v>
      </c>
      <c r="L162" s="588">
        <v>30693.4</v>
      </c>
      <c r="M162" s="588">
        <v>26423.3</v>
      </c>
      <c r="N162" s="716">
        <v>100</v>
      </c>
      <c r="O162" s="580" t="s">
        <v>718</v>
      </c>
      <c r="P162" s="580"/>
      <c r="Q162" s="571" t="s">
        <v>893</v>
      </c>
      <c r="R162" s="543" t="s">
        <v>271</v>
      </c>
      <c r="S162" s="543"/>
    </row>
    <row r="163" spans="1:19" x14ac:dyDescent="0.2">
      <c r="A163" s="572"/>
      <c r="B163" s="613"/>
      <c r="C163" s="140" t="s">
        <v>1487</v>
      </c>
      <c r="D163" s="78">
        <v>3.9</v>
      </c>
      <c r="E163" s="544"/>
      <c r="F163" s="553"/>
      <c r="G163" s="63" t="s">
        <v>1295</v>
      </c>
      <c r="H163" s="553"/>
      <c r="I163" s="590"/>
      <c r="J163" s="590"/>
      <c r="K163" s="590"/>
      <c r="L163" s="586"/>
      <c r="M163" s="586"/>
      <c r="N163" s="717"/>
      <c r="O163" s="581"/>
      <c r="P163" s="581"/>
      <c r="Q163" s="572"/>
      <c r="R163" s="544"/>
      <c r="S163" s="544"/>
    </row>
    <row r="164" spans="1:19" x14ac:dyDescent="0.2">
      <c r="A164" s="572"/>
      <c r="B164" s="559"/>
      <c r="C164" s="225" t="s">
        <v>1419</v>
      </c>
      <c r="D164" s="78">
        <v>7</v>
      </c>
      <c r="E164" s="545"/>
      <c r="F164" s="554"/>
      <c r="G164" s="63" t="s">
        <v>1912</v>
      </c>
      <c r="H164" s="554"/>
      <c r="I164" s="591"/>
      <c r="J164" s="591"/>
      <c r="K164" s="591"/>
      <c r="L164" s="586"/>
      <c r="M164" s="586"/>
      <c r="N164" s="720"/>
      <c r="O164" s="581"/>
      <c r="P164" s="581"/>
      <c r="Q164" s="573"/>
      <c r="R164" s="545"/>
      <c r="S164" s="545"/>
    </row>
    <row r="165" spans="1:19" x14ac:dyDescent="0.2">
      <c r="A165" s="573"/>
      <c r="B165" s="138"/>
      <c r="C165" s="140"/>
      <c r="D165" s="95">
        <f>SUM(D162:D164)</f>
        <v>14.1</v>
      </c>
      <c r="E165" s="16"/>
      <c r="F165" s="24"/>
      <c r="G165" s="63"/>
      <c r="H165" s="132"/>
      <c r="I165" s="81"/>
      <c r="J165" s="81"/>
      <c r="K165" s="82"/>
      <c r="L165" s="152"/>
      <c r="M165" s="153"/>
      <c r="N165" s="260"/>
      <c r="O165" s="140"/>
      <c r="P165" s="140"/>
      <c r="Q165" s="80"/>
      <c r="R165" s="16"/>
      <c r="S165" s="153"/>
    </row>
    <row r="166" spans="1:19" ht="37.5" customHeight="1" thickBot="1" x14ac:dyDescent="0.25">
      <c r="A166" s="571"/>
      <c r="B166" s="20" t="s">
        <v>465</v>
      </c>
      <c r="C166" s="140" t="s">
        <v>465</v>
      </c>
      <c r="D166" s="96">
        <v>14.1</v>
      </c>
      <c r="E166" s="245" t="s">
        <v>841</v>
      </c>
      <c r="F166" s="129" t="s">
        <v>246</v>
      </c>
      <c r="G166" s="63" t="s">
        <v>190</v>
      </c>
      <c r="H166" s="18" t="s">
        <v>819</v>
      </c>
      <c r="I166" s="242">
        <v>40813</v>
      </c>
      <c r="J166" s="244">
        <v>40989</v>
      </c>
      <c r="K166" s="242">
        <v>41111</v>
      </c>
      <c r="L166" s="168">
        <v>36014</v>
      </c>
      <c r="M166" s="168">
        <v>35930.949999999997</v>
      </c>
      <c r="N166" s="263">
        <v>100</v>
      </c>
      <c r="O166" s="241" t="s">
        <v>2137</v>
      </c>
      <c r="P166" s="240"/>
      <c r="Q166" s="66" t="s">
        <v>779</v>
      </c>
      <c r="R166" s="152" t="s">
        <v>271</v>
      </c>
      <c r="S166" s="243"/>
    </row>
    <row r="167" spans="1:19" ht="15.75" thickBot="1" x14ac:dyDescent="0.25">
      <c r="A167" s="573"/>
      <c r="B167" s="138"/>
      <c r="C167" s="140"/>
      <c r="D167" s="99">
        <f>SUM(D166:D166)</f>
        <v>14.1</v>
      </c>
      <c r="E167" s="16"/>
      <c r="F167" s="24"/>
      <c r="G167" s="63"/>
      <c r="H167" s="130"/>
      <c r="I167" s="81"/>
      <c r="J167" s="81"/>
      <c r="K167" s="82"/>
      <c r="L167" s="152"/>
      <c r="M167" s="153"/>
      <c r="N167" s="260"/>
      <c r="O167" s="140"/>
      <c r="P167" s="140"/>
      <c r="Q167" s="80"/>
      <c r="R167" s="16"/>
      <c r="S167" s="153"/>
    </row>
    <row r="168" spans="1:19" s="335" customFormat="1" ht="30.75" thickBot="1" x14ac:dyDescent="0.25">
      <c r="A168" s="563"/>
      <c r="B168" s="289" t="s">
        <v>2219</v>
      </c>
      <c r="C168" s="289" t="s">
        <v>2219</v>
      </c>
      <c r="D168" s="327">
        <v>4</v>
      </c>
      <c r="E168" s="319" t="s">
        <v>1676</v>
      </c>
      <c r="F168" s="328" t="s">
        <v>1450</v>
      </c>
      <c r="G168" s="329" t="s">
        <v>1446</v>
      </c>
      <c r="H168" s="290" t="s">
        <v>950</v>
      </c>
      <c r="I168" s="330">
        <v>40813</v>
      </c>
      <c r="J168" s="330">
        <v>40878</v>
      </c>
      <c r="K168" s="330">
        <v>41000</v>
      </c>
      <c r="L168" s="331">
        <v>32329.200000000001</v>
      </c>
      <c r="M168" s="331">
        <v>31827</v>
      </c>
      <c r="N168" s="319">
        <v>100</v>
      </c>
      <c r="O168" s="332" t="s">
        <v>1993</v>
      </c>
      <c r="P168" s="333"/>
      <c r="Q168" s="334" t="s">
        <v>951</v>
      </c>
      <c r="R168" s="319" t="e">
        <f>#REF!</f>
        <v>#REF!</v>
      </c>
      <c r="S168" s="319"/>
    </row>
    <row r="169" spans="1:19" ht="12.75" customHeight="1" thickBot="1" x14ac:dyDescent="0.25">
      <c r="A169" s="564"/>
      <c r="B169" s="131"/>
      <c r="C169" s="252"/>
      <c r="D169" s="94">
        <f>SUM(D168:D168)</f>
        <v>4</v>
      </c>
      <c r="E169" s="253"/>
      <c r="F169" s="36"/>
      <c r="G169" s="75"/>
      <c r="H169" s="163"/>
      <c r="I169" s="76"/>
      <c r="J169" s="76"/>
      <c r="K169" s="77"/>
      <c r="L169" s="156"/>
      <c r="M169" s="149"/>
      <c r="N169" s="262"/>
      <c r="O169" s="139"/>
      <c r="P169" s="139"/>
      <c r="Q169" s="67"/>
      <c r="R169" s="151"/>
      <c r="S169" s="149"/>
    </row>
    <row r="170" spans="1:19" x14ac:dyDescent="0.2">
      <c r="A170" s="563">
        <v>8</v>
      </c>
      <c r="B170" s="558" t="s">
        <v>954</v>
      </c>
      <c r="C170" s="140" t="s">
        <v>952</v>
      </c>
      <c r="D170" s="90">
        <v>12</v>
      </c>
      <c r="E170" s="543" t="s">
        <v>285</v>
      </c>
      <c r="F170" s="552" t="s">
        <v>246</v>
      </c>
      <c r="G170" s="63" t="s">
        <v>1912</v>
      </c>
      <c r="H170" s="660" t="s">
        <v>1714</v>
      </c>
      <c r="I170" s="589">
        <v>40813</v>
      </c>
      <c r="J170" s="589"/>
      <c r="K170" s="577"/>
      <c r="L170" s="588">
        <v>32278.799999999999</v>
      </c>
      <c r="M170" s="588"/>
      <c r="N170" s="716"/>
      <c r="O170" s="603"/>
      <c r="P170" s="603"/>
      <c r="Q170" s="571" t="s">
        <v>1021</v>
      </c>
      <c r="R170" s="543" t="str">
        <f>R153</f>
        <v>GOG</v>
      </c>
      <c r="S170" s="600"/>
    </row>
    <row r="171" spans="1:19" ht="15.75" thickBot="1" x14ac:dyDescent="0.25">
      <c r="A171" s="659"/>
      <c r="B171" s="613"/>
      <c r="C171" s="140" t="s">
        <v>953</v>
      </c>
      <c r="D171" s="91">
        <v>2.2000000000000002</v>
      </c>
      <c r="E171" s="545"/>
      <c r="F171" s="554"/>
      <c r="G171" s="79" t="s">
        <v>1091</v>
      </c>
      <c r="H171" s="661"/>
      <c r="I171" s="590"/>
      <c r="J171" s="590"/>
      <c r="K171" s="579"/>
      <c r="L171" s="587"/>
      <c r="M171" s="587"/>
      <c r="N171" s="717"/>
      <c r="O171" s="604"/>
      <c r="P171" s="604"/>
      <c r="Q171" s="573"/>
      <c r="R171" s="545" t="s">
        <v>150</v>
      </c>
      <c r="S171" s="602"/>
    </row>
    <row r="172" spans="1:19" ht="15.75" thickBot="1" x14ac:dyDescent="0.25">
      <c r="A172" s="564"/>
      <c r="B172" s="20"/>
      <c r="C172" s="254"/>
      <c r="D172" s="94">
        <f>SUM(D170:D171)</f>
        <v>14.2</v>
      </c>
      <c r="E172" s="255"/>
      <c r="F172" s="24"/>
      <c r="G172" s="63"/>
      <c r="H172" s="161"/>
      <c r="I172" s="81"/>
      <c r="J172" s="81"/>
      <c r="K172" s="86"/>
      <c r="L172" s="165"/>
      <c r="M172" s="153"/>
      <c r="N172" s="260"/>
      <c r="O172" s="140"/>
      <c r="P172" s="140"/>
      <c r="Q172" s="80"/>
      <c r="R172" s="16"/>
      <c r="S172" s="153"/>
    </row>
    <row r="173" spans="1:19" x14ac:dyDescent="0.2">
      <c r="A173" s="563">
        <v>9</v>
      </c>
      <c r="B173" s="558" t="s">
        <v>1018</v>
      </c>
      <c r="C173" s="140" t="s">
        <v>1715</v>
      </c>
      <c r="D173" s="90">
        <v>7.3</v>
      </c>
      <c r="E173" s="727" t="s">
        <v>287</v>
      </c>
      <c r="F173" s="552" t="s">
        <v>246</v>
      </c>
      <c r="G173" s="79" t="s">
        <v>1425</v>
      </c>
      <c r="H173" s="606" t="s">
        <v>1019</v>
      </c>
      <c r="I173" s="589">
        <v>40813</v>
      </c>
      <c r="J173" s="589">
        <v>40933</v>
      </c>
      <c r="K173" s="589">
        <v>41054</v>
      </c>
      <c r="L173" s="588">
        <v>33634</v>
      </c>
      <c r="M173" s="588"/>
      <c r="N173" s="716"/>
      <c r="O173" s="603"/>
      <c r="P173" s="603"/>
      <c r="Q173" s="571" t="s">
        <v>1020</v>
      </c>
      <c r="R173" s="543" t="str">
        <f>R153</f>
        <v>GOG</v>
      </c>
      <c r="S173" s="543"/>
    </row>
    <row r="174" spans="1:19" ht="15.75" thickBot="1" x14ac:dyDescent="0.25">
      <c r="A174" s="659"/>
      <c r="B174" s="559"/>
      <c r="C174" s="140" t="s">
        <v>1016</v>
      </c>
      <c r="D174" s="91">
        <v>7.4</v>
      </c>
      <c r="E174" s="728"/>
      <c r="F174" s="553"/>
      <c r="G174" s="62" t="s">
        <v>1017</v>
      </c>
      <c r="H174" s="608"/>
      <c r="I174" s="590"/>
      <c r="J174" s="590"/>
      <c r="K174" s="590"/>
      <c r="L174" s="587"/>
      <c r="M174" s="586"/>
      <c r="N174" s="717"/>
      <c r="O174" s="604"/>
      <c r="P174" s="604"/>
      <c r="Q174" s="572"/>
      <c r="R174" s="545" t="s">
        <v>150</v>
      </c>
      <c r="S174" s="544"/>
    </row>
    <row r="175" spans="1:19" ht="15.75" thickBot="1" x14ac:dyDescent="0.25">
      <c r="A175" s="564"/>
      <c r="B175" s="138"/>
      <c r="C175" s="254"/>
      <c r="D175" s="94">
        <f>SUM(D173:D174)</f>
        <v>14.7</v>
      </c>
      <c r="E175" s="255"/>
      <c r="F175" s="24"/>
      <c r="G175" s="63"/>
      <c r="H175" s="161"/>
      <c r="I175" s="81"/>
      <c r="J175" s="81"/>
      <c r="K175" s="82"/>
      <c r="L175" s="165"/>
      <c r="M175" s="153"/>
      <c r="N175" s="260"/>
      <c r="O175" s="140"/>
      <c r="P175" s="140"/>
      <c r="Q175" s="80"/>
      <c r="R175" s="16"/>
      <c r="S175" s="153"/>
    </row>
    <row r="176" spans="1:19" ht="20.25" customHeight="1" x14ac:dyDescent="0.2">
      <c r="A176" s="563">
        <v>10</v>
      </c>
      <c r="B176" s="558" t="s">
        <v>1791</v>
      </c>
      <c r="C176" s="140" t="s">
        <v>1022</v>
      </c>
      <c r="D176" s="90">
        <v>6</v>
      </c>
      <c r="E176" s="543" t="s">
        <v>285</v>
      </c>
      <c r="F176" s="552" t="s">
        <v>246</v>
      </c>
      <c r="G176" s="79" t="s">
        <v>1024</v>
      </c>
      <c r="H176" s="592" t="s">
        <v>1027</v>
      </c>
      <c r="I176" s="589">
        <v>40813</v>
      </c>
      <c r="J176" s="589">
        <v>40926</v>
      </c>
      <c r="K176" s="577">
        <v>41047</v>
      </c>
      <c r="L176" s="588">
        <v>24468</v>
      </c>
      <c r="M176" s="588"/>
      <c r="N176" s="716"/>
      <c r="O176" s="603"/>
      <c r="P176" s="603"/>
      <c r="Q176" s="571" t="s">
        <v>1026</v>
      </c>
      <c r="R176" s="543" t="str">
        <f>R173</f>
        <v>GOG</v>
      </c>
      <c r="S176" s="543"/>
    </row>
    <row r="177" spans="1:19" ht="21.75" customHeight="1" thickBot="1" x14ac:dyDescent="0.25">
      <c r="A177" s="659"/>
      <c r="B177" s="559"/>
      <c r="C177" s="140" t="s">
        <v>1023</v>
      </c>
      <c r="D177" s="91">
        <v>5</v>
      </c>
      <c r="E177" s="545"/>
      <c r="F177" s="553"/>
      <c r="G177" s="63" t="s">
        <v>1025</v>
      </c>
      <c r="H177" s="594"/>
      <c r="I177" s="590"/>
      <c r="J177" s="591"/>
      <c r="K177" s="579"/>
      <c r="L177" s="587"/>
      <c r="M177" s="586"/>
      <c r="N177" s="723"/>
      <c r="O177" s="675"/>
      <c r="P177" s="675"/>
      <c r="Q177" s="572"/>
      <c r="R177" s="545" t="s">
        <v>150</v>
      </c>
      <c r="S177" s="618"/>
    </row>
    <row r="178" spans="1:19" ht="15.75" thickBot="1" x14ac:dyDescent="0.25">
      <c r="A178" s="564"/>
      <c r="B178" s="138"/>
      <c r="C178" s="254"/>
      <c r="D178" s="94">
        <f>SUM(D176:D177)</f>
        <v>11</v>
      </c>
      <c r="E178" s="255"/>
      <c r="F178" s="24"/>
      <c r="G178" s="63"/>
      <c r="H178" s="163"/>
      <c r="I178" s="81"/>
      <c r="J178" s="76"/>
      <c r="K178" s="77"/>
      <c r="L178" s="165"/>
      <c r="M178" s="153"/>
      <c r="N178" s="262"/>
      <c r="O178" s="139"/>
      <c r="P178" s="139"/>
      <c r="Q178" s="80"/>
      <c r="R178" s="16"/>
      <c r="S178" s="153"/>
    </row>
    <row r="179" spans="1:19" x14ac:dyDescent="0.2">
      <c r="A179" s="563">
        <v>12</v>
      </c>
      <c r="B179" s="558" t="s">
        <v>1792</v>
      </c>
      <c r="C179" s="140" t="s">
        <v>1790</v>
      </c>
      <c r="D179" s="90">
        <v>8.5</v>
      </c>
      <c r="E179" s="543" t="s">
        <v>287</v>
      </c>
      <c r="F179" s="552" t="s">
        <v>246</v>
      </c>
      <c r="G179" s="63" t="s">
        <v>1793</v>
      </c>
      <c r="H179" s="609" t="s">
        <v>2013</v>
      </c>
      <c r="I179" s="589">
        <v>40813</v>
      </c>
      <c r="J179" s="589">
        <v>41036</v>
      </c>
      <c r="K179" s="577">
        <v>41159</v>
      </c>
      <c r="L179" s="588">
        <v>30020</v>
      </c>
      <c r="M179" s="588"/>
      <c r="N179" s="716"/>
      <c r="O179" s="690"/>
      <c r="P179" s="603"/>
      <c r="Q179" s="571" t="s">
        <v>2014</v>
      </c>
      <c r="R179" s="543" t="str">
        <f>R176</f>
        <v>GOG</v>
      </c>
      <c r="S179" s="543"/>
    </row>
    <row r="180" spans="1:19" x14ac:dyDescent="0.2">
      <c r="A180" s="659"/>
      <c r="B180" s="613"/>
      <c r="C180" s="140" t="s">
        <v>1726</v>
      </c>
      <c r="D180" s="78">
        <v>1.8</v>
      </c>
      <c r="E180" s="544"/>
      <c r="F180" s="553"/>
      <c r="G180" s="277" t="s">
        <v>2012</v>
      </c>
      <c r="H180" s="584"/>
      <c r="I180" s="590"/>
      <c r="J180" s="590"/>
      <c r="K180" s="578"/>
      <c r="L180" s="586"/>
      <c r="M180" s="586"/>
      <c r="N180" s="717"/>
      <c r="O180" s="691"/>
      <c r="P180" s="604"/>
      <c r="Q180" s="572"/>
      <c r="R180" s="544"/>
      <c r="S180" s="544"/>
    </row>
    <row r="181" spans="1:19" ht="15.75" thickBot="1" x14ac:dyDescent="0.25">
      <c r="A181" s="659"/>
      <c r="B181" s="559"/>
      <c r="C181" s="140" t="s">
        <v>2267</v>
      </c>
      <c r="D181" s="91">
        <v>3</v>
      </c>
      <c r="E181" s="545"/>
      <c r="F181" s="553"/>
      <c r="G181" s="276" t="s">
        <v>1727</v>
      </c>
      <c r="H181" s="585"/>
      <c r="I181" s="590"/>
      <c r="J181" s="590"/>
      <c r="K181" s="578"/>
      <c r="L181" s="587"/>
      <c r="M181" s="586"/>
      <c r="N181" s="717"/>
      <c r="O181" s="691"/>
      <c r="P181" s="604"/>
      <c r="Q181" s="572"/>
      <c r="R181" s="545" t="s">
        <v>150</v>
      </c>
      <c r="S181" s="544"/>
    </row>
    <row r="182" spans="1:19" s="105" customFormat="1" ht="15.75" thickBot="1" x14ac:dyDescent="0.25">
      <c r="A182" s="564"/>
      <c r="B182" s="131"/>
      <c r="C182" s="254"/>
      <c r="D182" s="94">
        <f>SUM(D179:D181)</f>
        <v>13.3</v>
      </c>
      <c r="E182" s="253"/>
      <c r="F182" s="24"/>
      <c r="G182" s="63"/>
      <c r="H182" s="163"/>
      <c r="I182" s="81"/>
      <c r="J182" s="81"/>
      <c r="K182" s="82"/>
      <c r="L182" s="156"/>
      <c r="M182" s="153"/>
      <c r="N182" s="153"/>
      <c r="O182" s="140"/>
      <c r="P182" s="140"/>
      <c r="Q182" s="80"/>
      <c r="R182" s="151"/>
      <c r="S182" s="153"/>
    </row>
  </sheetData>
  <autoFilter ref="A5:Q182">
    <filterColumn colId="1" showButton="0"/>
    <filterColumn colId="8" showButton="0"/>
    <filterColumn colId="9" showButton="0"/>
  </autoFilter>
  <mergeCells count="584">
    <mergeCell ref="M130:M136"/>
    <mergeCell ref="N150:N151"/>
    <mergeCell ref="N130:N136"/>
    <mergeCell ref="M150:M151"/>
    <mergeCell ref="O144:O148"/>
    <mergeCell ref="O140:O142"/>
    <mergeCell ref="L140:L142"/>
    <mergeCell ref="P123:P126"/>
    <mergeCell ref="R144:R148"/>
    <mergeCell ref="R140:R142"/>
    <mergeCell ref="M144:M148"/>
    <mergeCell ref="Q123:Q126"/>
    <mergeCell ref="P130:P136"/>
    <mergeCell ref="Q140:Q142"/>
    <mergeCell ref="L130:L136"/>
    <mergeCell ref="R123:R126"/>
    <mergeCell ref="O130:O136"/>
    <mergeCell ref="O150:O151"/>
    <mergeCell ref="P150:P151"/>
    <mergeCell ref="A140:A143"/>
    <mergeCell ref="L176:L177"/>
    <mergeCell ref="L179:L181"/>
    <mergeCell ref="L153:L155"/>
    <mergeCell ref="L157:L160"/>
    <mergeCell ref="J150:J151"/>
    <mergeCell ref="J144:J148"/>
    <mergeCell ref="K176:K177"/>
    <mergeCell ref="M176:M177"/>
    <mergeCell ref="M173:M174"/>
    <mergeCell ref="L170:L171"/>
    <mergeCell ref="M170:M171"/>
    <mergeCell ref="M153:M155"/>
    <mergeCell ref="K170:K171"/>
    <mergeCell ref="K140:K142"/>
    <mergeCell ref="M140:M142"/>
    <mergeCell ref="M157:M160"/>
    <mergeCell ref="L150:L151"/>
    <mergeCell ref="L144:L148"/>
    <mergeCell ref="L162:L164"/>
    <mergeCell ref="K150:K151"/>
    <mergeCell ref="K157:K160"/>
    <mergeCell ref="K153:K155"/>
    <mergeCell ref="K144:K148"/>
    <mergeCell ref="K179:K181"/>
    <mergeCell ref="K162:K164"/>
    <mergeCell ref="H5:H7"/>
    <mergeCell ref="I5:K5"/>
    <mergeCell ref="J25:J28"/>
    <mergeCell ref="I150:I151"/>
    <mergeCell ref="I140:I142"/>
    <mergeCell ref="J123:J126"/>
    <mergeCell ref="I123:I126"/>
    <mergeCell ref="H45:H46"/>
    <mergeCell ref="I45:I46"/>
    <mergeCell ref="J45:J46"/>
    <mergeCell ref="K45:K46"/>
    <mergeCell ref="K130:K136"/>
    <mergeCell ref="I179:I181"/>
    <mergeCell ref="H170:H171"/>
    <mergeCell ref="H173:H174"/>
    <mergeCell ref="H176:H177"/>
    <mergeCell ref="H179:H181"/>
    <mergeCell ref="I173:I174"/>
    <mergeCell ref="I176:I177"/>
    <mergeCell ref="I170:I171"/>
    <mergeCell ref="J91:J93"/>
    <mergeCell ref="K118:K119"/>
    <mergeCell ref="A138:A139"/>
    <mergeCell ref="B130:B136"/>
    <mergeCell ref="A8:C8"/>
    <mergeCell ref="B5:C7"/>
    <mergeCell ref="A130:A137"/>
    <mergeCell ref="A118:A120"/>
    <mergeCell ref="B118:B119"/>
    <mergeCell ref="A116:A117"/>
    <mergeCell ref="A114:A115"/>
    <mergeCell ref="B110:B112"/>
    <mergeCell ref="A5:A7"/>
    <mergeCell ref="A82:A84"/>
    <mergeCell ref="A72:A73"/>
    <mergeCell ref="A33:A37"/>
    <mergeCell ref="A45:A47"/>
    <mergeCell ref="A87:A90"/>
    <mergeCell ref="B87:B89"/>
    <mergeCell ref="B95:B96"/>
    <mergeCell ref="A121:A122"/>
    <mergeCell ref="B33:B36"/>
    <mergeCell ref="A38:A42"/>
    <mergeCell ref="B38:B41"/>
    <mergeCell ref="A65:A66"/>
    <mergeCell ref="A67:A68"/>
    <mergeCell ref="B140:B142"/>
    <mergeCell ref="L110:L112"/>
    <mergeCell ref="F140:F142"/>
    <mergeCell ref="H140:H142"/>
    <mergeCell ref="H130:H136"/>
    <mergeCell ref="I130:I136"/>
    <mergeCell ref="J140:J142"/>
    <mergeCell ref="F123:F126"/>
    <mergeCell ref="F130:F136"/>
    <mergeCell ref="J130:J136"/>
    <mergeCell ref="I118:I119"/>
    <mergeCell ref="H118:H119"/>
    <mergeCell ref="J118:J119"/>
    <mergeCell ref="F118:F119"/>
    <mergeCell ref="J110:J112"/>
    <mergeCell ref="H110:H112"/>
    <mergeCell ref="I110:I112"/>
    <mergeCell ref="E110:E112"/>
    <mergeCell ref="E118:E119"/>
    <mergeCell ref="E130:E136"/>
    <mergeCell ref="L123:L126"/>
    <mergeCell ref="K110:K112"/>
    <mergeCell ref="K123:K126"/>
    <mergeCell ref="L118:L119"/>
    <mergeCell ref="F176:F177"/>
    <mergeCell ref="F179:F181"/>
    <mergeCell ref="B173:B174"/>
    <mergeCell ref="B153:B155"/>
    <mergeCell ref="F157:F160"/>
    <mergeCell ref="B157:B160"/>
    <mergeCell ref="F162:F164"/>
    <mergeCell ref="B170:B171"/>
    <mergeCell ref="F153:F155"/>
    <mergeCell ref="F173:F174"/>
    <mergeCell ref="E173:E174"/>
    <mergeCell ref="B162:B164"/>
    <mergeCell ref="B176:B177"/>
    <mergeCell ref="E176:E177"/>
    <mergeCell ref="E179:E181"/>
    <mergeCell ref="E153:E155"/>
    <mergeCell ref="E157:E160"/>
    <mergeCell ref="E162:E164"/>
    <mergeCell ref="B179:B181"/>
    <mergeCell ref="S179:S181"/>
    <mergeCell ref="S153:S155"/>
    <mergeCell ref="S170:S171"/>
    <mergeCell ref="S173:S174"/>
    <mergeCell ref="S176:S177"/>
    <mergeCell ref="S162:S164"/>
    <mergeCell ref="S157:S160"/>
    <mergeCell ref="J157:J160"/>
    <mergeCell ref="K173:K174"/>
    <mergeCell ref="M179:M181"/>
    <mergeCell ref="L173:L174"/>
    <mergeCell ref="M162:M164"/>
    <mergeCell ref="N157:N160"/>
    <mergeCell ref="O157:O160"/>
    <mergeCell ref="O153:O155"/>
    <mergeCell ref="N153:N155"/>
    <mergeCell ref="J176:J177"/>
    <mergeCell ref="J173:J174"/>
    <mergeCell ref="J179:J181"/>
    <mergeCell ref="J162:J164"/>
    <mergeCell ref="Q173:Q174"/>
    <mergeCell ref="Q176:Q177"/>
    <mergeCell ref="R176:R177"/>
    <mergeCell ref="R179:R181"/>
    <mergeCell ref="S5:S7"/>
    <mergeCell ref="S130:S136"/>
    <mergeCell ref="S150:S151"/>
    <mergeCell ref="S144:S148"/>
    <mergeCell ref="S110:S112"/>
    <mergeCell ref="S140:S142"/>
    <mergeCell ref="S69:S70"/>
    <mergeCell ref="S53:S54"/>
    <mergeCell ref="S78:S80"/>
    <mergeCell ref="S100:S103"/>
    <mergeCell ref="S118:S119"/>
    <mergeCell ref="S45:S46"/>
    <mergeCell ref="S123:S126"/>
    <mergeCell ref="S105:S106"/>
    <mergeCell ref="S91:S93"/>
    <mergeCell ref="S12:S14"/>
    <mergeCell ref="S18:S19"/>
    <mergeCell ref="S61:S63"/>
    <mergeCell ref="S9:S10"/>
    <mergeCell ref="S95:S96"/>
    <mergeCell ref="S87:S89"/>
    <mergeCell ref="S82:S83"/>
    <mergeCell ref="A1:Q1"/>
    <mergeCell ref="A2:Q2"/>
    <mergeCell ref="A3:Q3"/>
    <mergeCell ref="J153:J155"/>
    <mergeCell ref="P157:P160"/>
    <mergeCell ref="P162:P164"/>
    <mergeCell ref="M123:M126"/>
    <mergeCell ref="N123:N126"/>
    <mergeCell ref="O123:O126"/>
    <mergeCell ref="Q153:Q155"/>
    <mergeCell ref="F100:F103"/>
    <mergeCell ref="I100:I103"/>
    <mergeCell ref="J100:J103"/>
    <mergeCell ref="K100:K103"/>
    <mergeCell ref="N100:N103"/>
    <mergeCell ref="Q110:Q112"/>
    <mergeCell ref="Q157:Q160"/>
    <mergeCell ref="Q162:Q164"/>
    <mergeCell ref="Q150:Q151"/>
    <mergeCell ref="Q5:Q7"/>
    <mergeCell ref="Q130:Q136"/>
    <mergeCell ref="H123:H126"/>
    <mergeCell ref="J53:J54"/>
    <mergeCell ref="K53:K54"/>
    <mergeCell ref="N179:N181"/>
    <mergeCell ref="O170:O171"/>
    <mergeCell ref="O173:O174"/>
    <mergeCell ref="N170:N171"/>
    <mergeCell ref="N173:N174"/>
    <mergeCell ref="N176:N177"/>
    <mergeCell ref="O176:O177"/>
    <mergeCell ref="O179:O181"/>
    <mergeCell ref="N140:N142"/>
    <mergeCell ref="N144:N148"/>
    <mergeCell ref="P176:P177"/>
    <mergeCell ref="P179:P181"/>
    <mergeCell ref="P170:P171"/>
    <mergeCell ref="P173:P174"/>
    <mergeCell ref="R110:R112"/>
    <mergeCell ref="O100:O103"/>
    <mergeCell ref="P100:P103"/>
    <mergeCell ref="Q100:Q103"/>
    <mergeCell ref="R100:R103"/>
    <mergeCell ref="Q179:Q181"/>
    <mergeCell ref="R153:R155"/>
    <mergeCell ref="R173:R174"/>
    <mergeCell ref="R170:R171"/>
    <mergeCell ref="R150:R151"/>
    <mergeCell ref="R157:R160"/>
    <mergeCell ref="R162:R164"/>
    <mergeCell ref="Q144:Q148"/>
    <mergeCell ref="Q170:Q171"/>
    <mergeCell ref="L100:L103"/>
    <mergeCell ref="M118:M119"/>
    <mergeCell ref="N118:N119"/>
    <mergeCell ref="O118:O119"/>
    <mergeCell ref="P118:P119"/>
    <mergeCell ref="Q118:Q119"/>
    <mergeCell ref="M105:M106"/>
    <mergeCell ref="N105:N106"/>
    <mergeCell ref="O105:O106"/>
    <mergeCell ref="P105:P106"/>
    <mergeCell ref="M100:M103"/>
    <mergeCell ref="M110:M112"/>
    <mergeCell ref="Q105:Q106"/>
    <mergeCell ref="N110:N112"/>
    <mergeCell ref="O110:O112"/>
    <mergeCell ref="P110:P112"/>
    <mergeCell ref="R5:R7"/>
    <mergeCell ref="R130:R136"/>
    <mergeCell ref="R69:R70"/>
    <mergeCell ref="R53:R54"/>
    <mergeCell ref="R78:R80"/>
    <mergeCell ref="R12:R14"/>
    <mergeCell ref="R105:R106"/>
    <mergeCell ref="R118:R119"/>
    <mergeCell ref="R38:R41"/>
    <mergeCell ref="R45:R46"/>
    <mergeCell ref="R61:R63"/>
    <mergeCell ref="R82:R83"/>
    <mergeCell ref="R18:R19"/>
    <mergeCell ref="K95:K96"/>
    <mergeCell ref="H95:H96"/>
    <mergeCell ref="J69:J70"/>
    <mergeCell ref="H69:H70"/>
    <mergeCell ref="I78:I80"/>
    <mergeCell ref="I91:I93"/>
    <mergeCell ref="I82:I83"/>
    <mergeCell ref="J95:J96"/>
    <mergeCell ref="J78:J80"/>
    <mergeCell ref="I69:I70"/>
    <mergeCell ref="Q95:Q96"/>
    <mergeCell ref="R95:R96"/>
    <mergeCell ref="O69:O70"/>
    <mergeCell ref="M95:M96"/>
    <mergeCell ref="N95:N96"/>
    <mergeCell ref="N91:N93"/>
    <mergeCell ref="P82:P83"/>
    <mergeCell ref="Q69:Q70"/>
    <mergeCell ref="P78:P80"/>
    <mergeCell ref="R91:R93"/>
    <mergeCell ref="Q87:Q89"/>
    <mergeCell ref="R87:R89"/>
    <mergeCell ref="O78:O80"/>
    <mergeCell ref="M87:M89"/>
    <mergeCell ref="M91:M93"/>
    <mergeCell ref="P91:P93"/>
    <mergeCell ref="Q91:Q93"/>
    <mergeCell ref="K105:K106"/>
    <mergeCell ref="K82:K83"/>
    <mergeCell ref="M69:M70"/>
    <mergeCell ref="P61:P63"/>
    <mergeCell ref="M61:M63"/>
    <mergeCell ref="N69:N70"/>
    <mergeCell ref="L105:L106"/>
    <mergeCell ref="D5:D7"/>
    <mergeCell ref="P5:P7"/>
    <mergeCell ref="P18:P19"/>
    <mergeCell ref="L53:L54"/>
    <mergeCell ref="O87:O89"/>
    <mergeCell ref="P56:P59"/>
    <mergeCell ref="P69:P70"/>
    <mergeCell ref="L91:L93"/>
    <mergeCell ref="M82:M83"/>
    <mergeCell ref="M78:M80"/>
    <mergeCell ref="N78:N80"/>
    <mergeCell ref="L78:L80"/>
    <mergeCell ref="N82:N83"/>
    <mergeCell ref="P95:P96"/>
    <mergeCell ref="O82:O83"/>
    <mergeCell ref="P87:P89"/>
    <mergeCell ref="L95:L96"/>
    <mergeCell ref="F110:F112"/>
    <mergeCell ref="O5:O7"/>
    <mergeCell ref="G5:G7"/>
    <mergeCell ref="F5:F7"/>
    <mergeCell ref="M5:M7"/>
    <mergeCell ref="N5:N7"/>
    <mergeCell ref="L5:L7"/>
    <mergeCell ref="F33:F36"/>
    <mergeCell ref="K18:K19"/>
    <mergeCell ref="I30:I31"/>
    <mergeCell ref="J30:J31"/>
    <mergeCell ref="K25:K28"/>
    <mergeCell ref="L25:L28"/>
    <mergeCell ref="H33:H36"/>
    <mergeCell ref="I25:I28"/>
    <mergeCell ref="K48:K49"/>
    <mergeCell ref="K69:K70"/>
    <mergeCell ref="O95:O96"/>
    <mergeCell ref="O91:O93"/>
    <mergeCell ref="N87:N89"/>
    <mergeCell ref="K91:K93"/>
    <mergeCell ref="K87:K89"/>
    <mergeCell ref="O61:O63"/>
    <mergeCell ref="L69:L70"/>
    <mergeCell ref="E140:E142"/>
    <mergeCell ref="E170:E171"/>
    <mergeCell ref="P144:P148"/>
    <mergeCell ref="P140:P142"/>
    <mergeCell ref="P153:P155"/>
    <mergeCell ref="O162:O164"/>
    <mergeCell ref="N162:N164"/>
    <mergeCell ref="J170:J171"/>
    <mergeCell ref="H150:H151"/>
    <mergeCell ref="F144:F148"/>
    <mergeCell ref="F170:F171"/>
    <mergeCell ref="H153:H155"/>
    <mergeCell ref="H157:H160"/>
    <mergeCell ref="H162:H164"/>
    <mergeCell ref="H144:H148"/>
    <mergeCell ref="I153:I155"/>
    <mergeCell ref="I157:I160"/>
    <mergeCell ref="I162:I164"/>
    <mergeCell ref="F150:F151"/>
    <mergeCell ref="E144:E148"/>
    <mergeCell ref="I144:I148"/>
    <mergeCell ref="J105:J106"/>
    <mergeCell ref="I105:I106"/>
    <mergeCell ref="I95:I96"/>
    <mergeCell ref="B105:B106"/>
    <mergeCell ref="F105:F106"/>
    <mergeCell ref="H105:H106"/>
    <mergeCell ref="B91:B93"/>
    <mergeCell ref="F91:F93"/>
    <mergeCell ref="E91:E93"/>
    <mergeCell ref="E95:E96"/>
    <mergeCell ref="H91:H93"/>
    <mergeCell ref="F95:F96"/>
    <mergeCell ref="E105:E106"/>
    <mergeCell ref="N61:N63"/>
    <mergeCell ref="L45:L46"/>
    <mergeCell ref="M45:M46"/>
    <mergeCell ref="N45:N46"/>
    <mergeCell ref="M48:M49"/>
    <mergeCell ref="B82:B83"/>
    <mergeCell ref="H82:H83"/>
    <mergeCell ref="F87:F89"/>
    <mergeCell ref="H87:H89"/>
    <mergeCell ref="F82:F83"/>
    <mergeCell ref="E87:E89"/>
    <mergeCell ref="E82:E83"/>
    <mergeCell ref="I87:I89"/>
    <mergeCell ref="J87:J89"/>
    <mergeCell ref="J82:J83"/>
    <mergeCell ref="K61:K63"/>
    <mergeCell ref="L48:L49"/>
    <mergeCell ref="K56:K59"/>
    <mergeCell ref="L87:L89"/>
    <mergeCell ref="L82:L83"/>
    <mergeCell ref="N53:N54"/>
    <mergeCell ref="N48:N49"/>
    <mergeCell ref="K78:K80"/>
    <mergeCell ref="M56:M59"/>
    <mergeCell ref="P48:P49"/>
    <mergeCell ref="O48:O49"/>
    <mergeCell ref="Q38:Q41"/>
    <mergeCell ref="O45:O46"/>
    <mergeCell ref="P45:P46"/>
    <mergeCell ref="Q45:Q46"/>
    <mergeCell ref="O56:O59"/>
    <mergeCell ref="O53:O54"/>
    <mergeCell ref="A108:A109"/>
    <mergeCell ref="B48:B49"/>
    <mergeCell ref="B53:B54"/>
    <mergeCell ref="E48:E49"/>
    <mergeCell ref="F53:F54"/>
    <mergeCell ref="E56:E59"/>
    <mergeCell ref="K38:K41"/>
    <mergeCell ref="E78:E80"/>
    <mergeCell ref="F78:F80"/>
    <mergeCell ref="H78:H80"/>
    <mergeCell ref="F69:F70"/>
    <mergeCell ref="E53:E54"/>
    <mergeCell ref="H61:H63"/>
    <mergeCell ref="E61:E63"/>
    <mergeCell ref="F61:F63"/>
    <mergeCell ref="J61:J63"/>
    <mergeCell ref="A110:A113"/>
    <mergeCell ref="A95:A97"/>
    <mergeCell ref="A91:A94"/>
    <mergeCell ref="A105:A107"/>
    <mergeCell ref="A98:A99"/>
    <mergeCell ref="H100:H103"/>
    <mergeCell ref="E33:E36"/>
    <mergeCell ref="E38:E41"/>
    <mergeCell ref="B45:B46"/>
    <mergeCell ref="E45:E46"/>
    <mergeCell ref="A43:A44"/>
    <mergeCell ref="F45:F46"/>
    <mergeCell ref="H48:H49"/>
    <mergeCell ref="A69:A71"/>
    <mergeCell ref="A61:A64"/>
    <mergeCell ref="B69:B70"/>
    <mergeCell ref="E69:E70"/>
    <mergeCell ref="B61:B63"/>
    <mergeCell ref="B56:B59"/>
    <mergeCell ref="A53:A55"/>
    <mergeCell ref="A56:A60"/>
    <mergeCell ref="F48:F49"/>
    <mergeCell ref="A51:A52"/>
    <mergeCell ref="A48:A50"/>
    <mergeCell ref="H38:H41"/>
    <mergeCell ref="F38:F41"/>
    <mergeCell ref="I38:I41"/>
    <mergeCell ref="I53:I54"/>
    <mergeCell ref="J33:J36"/>
    <mergeCell ref="J38:J41"/>
    <mergeCell ref="I56:I59"/>
    <mergeCell ref="I48:I49"/>
    <mergeCell ref="I33:I36"/>
    <mergeCell ref="H53:H54"/>
    <mergeCell ref="H56:H59"/>
    <mergeCell ref="F56:F59"/>
    <mergeCell ref="I61:I63"/>
    <mergeCell ref="J48:J49"/>
    <mergeCell ref="J56:J59"/>
    <mergeCell ref="O33:O36"/>
    <mergeCell ref="M33:M36"/>
    <mergeCell ref="M30:M31"/>
    <mergeCell ref="N30:N31"/>
    <mergeCell ref="Q33:Q36"/>
    <mergeCell ref="P33:P36"/>
    <mergeCell ref="N33:N36"/>
    <mergeCell ref="N56:N59"/>
    <mergeCell ref="M53:M54"/>
    <mergeCell ref="L33:L36"/>
    <mergeCell ref="L30:L31"/>
    <mergeCell ref="L38:L41"/>
    <mergeCell ref="M38:M41"/>
    <mergeCell ref="N38:N41"/>
    <mergeCell ref="P38:P41"/>
    <mergeCell ref="L61:L63"/>
    <mergeCell ref="Q53:Q54"/>
    <mergeCell ref="O38:O41"/>
    <mergeCell ref="P53:P54"/>
    <mergeCell ref="L56:L59"/>
    <mergeCell ref="K33:K36"/>
    <mergeCell ref="Q12:Q14"/>
    <mergeCell ref="P12:P14"/>
    <mergeCell ref="P25:P28"/>
    <mergeCell ref="O25:O28"/>
    <mergeCell ref="N18:N19"/>
    <mergeCell ref="Q18:Q19"/>
    <mergeCell ref="Q61:Q63"/>
    <mergeCell ref="Q82:Q83"/>
    <mergeCell ref="S25:S28"/>
    <mergeCell ref="S30:S31"/>
    <mergeCell ref="S38:S41"/>
    <mergeCell ref="Q48:Q49"/>
    <mergeCell ref="S48:S49"/>
    <mergeCell ref="R25:R28"/>
    <mergeCell ref="Q25:Q28"/>
    <mergeCell ref="S33:S36"/>
    <mergeCell ref="R30:R31"/>
    <mergeCell ref="R33:R36"/>
    <mergeCell ref="S56:S59"/>
    <mergeCell ref="Q56:Q59"/>
    <mergeCell ref="Q78:Q80"/>
    <mergeCell ref="N25:N28"/>
    <mergeCell ref="R48:R49"/>
    <mergeCell ref="R56:R59"/>
    <mergeCell ref="F12:F14"/>
    <mergeCell ref="H12:H14"/>
    <mergeCell ref="A16:A17"/>
    <mergeCell ref="M12:M14"/>
    <mergeCell ref="N12:N14"/>
    <mergeCell ref="I18:I19"/>
    <mergeCell ref="J18:J19"/>
    <mergeCell ref="I12:I14"/>
    <mergeCell ref="K12:K14"/>
    <mergeCell ref="L12:L14"/>
    <mergeCell ref="L18:L19"/>
    <mergeCell ref="M18:M19"/>
    <mergeCell ref="F18:F19"/>
    <mergeCell ref="H18:H19"/>
    <mergeCell ref="E5:E7"/>
    <mergeCell ref="E12:E14"/>
    <mergeCell ref="E25:E28"/>
    <mergeCell ref="J9:J10"/>
    <mergeCell ref="J12:J14"/>
    <mergeCell ref="O18:O19"/>
    <mergeCell ref="F25:F28"/>
    <mergeCell ref="H25:H28"/>
    <mergeCell ref="A25:A29"/>
    <mergeCell ref="B25:B28"/>
    <mergeCell ref="A9:A11"/>
    <mergeCell ref="B9:B10"/>
    <mergeCell ref="H9:H10"/>
    <mergeCell ref="I9:I10"/>
    <mergeCell ref="E9:E10"/>
    <mergeCell ref="F9:F10"/>
    <mergeCell ref="L9:L10"/>
    <mergeCell ref="M9:M10"/>
    <mergeCell ref="N9:N10"/>
    <mergeCell ref="O9:O10"/>
    <mergeCell ref="A12:A15"/>
    <mergeCell ref="B12:B14"/>
    <mergeCell ref="A21:A22"/>
    <mergeCell ref="O12:O14"/>
    <mergeCell ref="A23:A24"/>
    <mergeCell ref="E30:E31"/>
    <mergeCell ref="A18:A20"/>
    <mergeCell ref="B18:B19"/>
    <mergeCell ref="P30:P31"/>
    <mergeCell ref="F30:F31"/>
    <mergeCell ref="H30:H31"/>
    <mergeCell ref="E18:E19"/>
    <mergeCell ref="O30:O31"/>
    <mergeCell ref="K30:K31"/>
    <mergeCell ref="M25:M28"/>
    <mergeCell ref="B144:B148"/>
    <mergeCell ref="E150:E151"/>
    <mergeCell ref="B150:B151"/>
    <mergeCell ref="A179:A182"/>
    <mergeCell ref="A153:A156"/>
    <mergeCell ref="A176:A178"/>
    <mergeCell ref="A150:A152"/>
    <mergeCell ref="A173:A175"/>
    <mergeCell ref="A168:A169"/>
    <mergeCell ref="P9:P10"/>
    <mergeCell ref="Q9:Q10"/>
    <mergeCell ref="R9:R10"/>
    <mergeCell ref="K9:K10"/>
    <mergeCell ref="A144:A149"/>
    <mergeCell ref="A157:A161"/>
    <mergeCell ref="A162:A165"/>
    <mergeCell ref="A170:A172"/>
    <mergeCell ref="A166:A167"/>
    <mergeCell ref="A74:A75"/>
    <mergeCell ref="A123:A127"/>
    <mergeCell ref="B123:B126"/>
    <mergeCell ref="E123:E126"/>
    <mergeCell ref="A100:A104"/>
    <mergeCell ref="B100:B103"/>
    <mergeCell ref="E100:E103"/>
    <mergeCell ref="B78:B80"/>
    <mergeCell ref="A128:A129"/>
    <mergeCell ref="A76:A77"/>
    <mergeCell ref="A85:A86"/>
    <mergeCell ref="A78:A81"/>
    <mergeCell ref="A30:A32"/>
    <mergeCell ref="B30:B31"/>
    <mergeCell ref="Q30:Q31"/>
  </mergeCells>
  <phoneticPr fontId="0" type="noConversion"/>
  <printOptions horizontalCentered="1"/>
  <pageMargins left="0.25" right="0.25" top="0.25" bottom="0.25" header="0.62" footer="0.25"/>
  <pageSetup paperSize="9" scale="54" orientation="landscape" r:id="rId1"/>
  <headerFooter alignWithMargins="0"/>
  <rowBreaks count="1" manualBreakCount="1">
    <brk id="110" max="14" man="1"/>
  </rowBreak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R282"/>
  <sheetViews>
    <sheetView view="pageBreakPreview" topLeftCell="C1" zoomScale="84" zoomScaleSheetLayoutView="84" workbookViewId="0">
      <pane ySplit="7" topLeftCell="A8" activePane="bottomLeft" state="frozen"/>
      <selection pane="bottomLeft" activeCell="O126" sqref="O126:O130"/>
    </sheetView>
  </sheetViews>
  <sheetFormatPr defaultRowHeight="15" x14ac:dyDescent="0.2"/>
  <cols>
    <col min="1" max="1" width="4.28515625" bestFit="1" customWidth="1"/>
    <col min="2" max="2" width="32.42578125" style="177" customWidth="1"/>
    <col min="3" max="3" width="45.42578125" style="51" customWidth="1"/>
    <col min="4" max="4" width="9.140625" style="71"/>
    <col min="5" max="5" width="12.5703125" style="148" customWidth="1"/>
    <col min="6" max="6" width="23.7109375" style="137" customWidth="1"/>
    <col min="7" max="7" width="15.42578125" customWidth="1"/>
    <col min="8" max="8" width="26.140625" style="137" customWidth="1"/>
    <col min="9" max="9" width="10.140625" style="70" customWidth="1"/>
    <col min="10" max="10" width="10.85546875" style="70" customWidth="1"/>
    <col min="11" max="11" width="11.140625" style="70" customWidth="1"/>
    <col min="12" max="12" width="19.42578125" style="223" customWidth="1"/>
    <col min="13" max="13" width="11" style="148" customWidth="1"/>
    <col min="14" max="14" width="12.42578125" style="148" customWidth="1"/>
    <col min="15" max="15" width="25.140625" style="51" customWidth="1"/>
    <col min="16" max="16" width="20.5703125" style="51" customWidth="1"/>
    <col min="17" max="17" width="28.85546875" style="69" bestFit="1" customWidth="1"/>
    <col min="18" max="19" width="9.140625" style="148"/>
  </cols>
  <sheetData>
    <row r="1" spans="1:252" ht="12.75" x14ac:dyDescent="0.2">
      <c r="A1" s="537" t="s">
        <v>1282</v>
      </c>
      <c r="B1" s="537"/>
      <c r="C1" s="537"/>
      <c r="D1" s="537"/>
      <c r="E1" s="537"/>
      <c r="F1" s="537"/>
      <c r="G1" s="537"/>
      <c r="H1" s="537"/>
      <c r="I1" s="537"/>
      <c r="J1" s="537"/>
      <c r="K1" s="537"/>
      <c r="L1" s="537"/>
      <c r="M1" s="537"/>
      <c r="N1" s="537"/>
      <c r="O1" s="537"/>
      <c r="P1" s="537"/>
      <c r="Q1" s="537"/>
      <c r="R1" s="55"/>
      <c r="S1" s="55"/>
      <c r="T1" s="14"/>
      <c r="U1" s="14"/>
      <c r="V1" s="14"/>
      <c r="W1" s="14"/>
      <c r="X1" s="14"/>
    </row>
    <row r="2" spans="1:252" ht="12.75" x14ac:dyDescent="0.2">
      <c r="A2" s="537" t="s">
        <v>2152</v>
      </c>
      <c r="B2" s="537"/>
      <c r="C2" s="537"/>
      <c r="D2" s="537"/>
      <c r="E2" s="537"/>
      <c r="F2" s="537"/>
      <c r="G2" s="537"/>
      <c r="H2" s="537"/>
      <c r="I2" s="537"/>
      <c r="J2" s="537"/>
      <c r="K2" s="537"/>
      <c r="L2" s="537"/>
      <c r="M2" s="537"/>
      <c r="N2" s="537"/>
      <c r="O2" s="537"/>
      <c r="P2" s="537"/>
      <c r="Q2" s="537"/>
      <c r="R2" s="55"/>
      <c r="S2" s="55"/>
      <c r="T2" s="14"/>
      <c r="U2" s="14"/>
      <c r="V2" s="14"/>
      <c r="W2" s="14"/>
      <c r="X2" s="14"/>
    </row>
    <row r="3" spans="1:252" ht="12.75" x14ac:dyDescent="0.2">
      <c r="A3" s="537" t="s">
        <v>2367</v>
      </c>
      <c r="B3" s="537"/>
      <c r="C3" s="537"/>
      <c r="D3" s="537"/>
      <c r="E3" s="537"/>
      <c r="F3" s="537"/>
      <c r="G3" s="537"/>
      <c r="H3" s="537"/>
      <c r="I3" s="537"/>
      <c r="J3" s="537"/>
      <c r="K3" s="537"/>
      <c r="L3" s="537"/>
      <c r="M3" s="537"/>
      <c r="N3" s="537"/>
      <c r="O3" s="537"/>
      <c r="P3" s="537"/>
      <c r="Q3" s="537"/>
      <c r="R3" s="55"/>
      <c r="S3" s="55"/>
      <c r="T3" s="14"/>
      <c r="U3" s="14"/>
      <c r="V3" s="14"/>
      <c r="W3" s="14"/>
      <c r="X3" s="14"/>
    </row>
    <row r="4" spans="1:252" ht="9" customHeight="1" thickBot="1" x14ac:dyDescent="0.25"/>
    <row r="5" spans="1:252" ht="13.5" customHeight="1" thickTop="1" x14ac:dyDescent="0.2">
      <c r="A5" s="634" t="s">
        <v>1943</v>
      </c>
      <c r="B5" s="640" t="s">
        <v>1552</v>
      </c>
      <c r="C5" s="641"/>
      <c r="D5" s="647" t="s">
        <v>1008</v>
      </c>
      <c r="E5" s="534" t="s">
        <v>1285</v>
      </c>
      <c r="F5" s="534" t="s">
        <v>1707</v>
      </c>
      <c r="G5" s="530" t="s">
        <v>2074</v>
      </c>
      <c r="H5" s="534" t="s">
        <v>1286</v>
      </c>
      <c r="I5" s="656" t="s">
        <v>1656</v>
      </c>
      <c r="J5" s="657"/>
      <c r="K5" s="658"/>
      <c r="L5" s="650" t="s">
        <v>1288</v>
      </c>
      <c r="M5" s="530" t="s">
        <v>74</v>
      </c>
      <c r="N5" s="647" t="s">
        <v>585</v>
      </c>
      <c r="O5" s="534" t="s">
        <v>586</v>
      </c>
      <c r="P5" s="680" t="s">
        <v>1708</v>
      </c>
      <c r="Q5" s="530" t="s">
        <v>1867</v>
      </c>
      <c r="R5" s="683" t="s">
        <v>759</v>
      </c>
      <c r="S5" s="530" t="s">
        <v>2091</v>
      </c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  <c r="GS5" s="3"/>
      <c r="GT5" s="3"/>
      <c r="GU5" s="3"/>
      <c r="GV5" s="3"/>
      <c r="GW5" s="3"/>
      <c r="GX5" s="3"/>
      <c r="GY5" s="3"/>
      <c r="GZ5" s="3"/>
      <c r="HA5" s="3"/>
      <c r="HB5" s="3"/>
      <c r="HC5" s="3"/>
      <c r="HD5" s="3"/>
      <c r="HE5" s="3"/>
      <c r="HF5" s="3"/>
      <c r="HG5" s="3"/>
      <c r="HH5" s="3"/>
      <c r="HI5" s="3"/>
      <c r="HJ5" s="3"/>
      <c r="HK5" s="3"/>
      <c r="HL5" s="3"/>
      <c r="HM5" s="3"/>
      <c r="HN5" s="3"/>
      <c r="HO5" s="3"/>
      <c r="HP5" s="3"/>
      <c r="HQ5" s="3"/>
      <c r="HR5" s="3"/>
      <c r="HS5" s="3"/>
      <c r="HT5" s="3"/>
      <c r="HU5" s="3"/>
      <c r="HV5" s="3"/>
      <c r="HW5" s="3"/>
      <c r="HX5" s="3"/>
      <c r="HY5" s="3"/>
      <c r="HZ5" s="3"/>
      <c r="IA5" s="3"/>
      <c r="IB5" s="3"/>
      <c r="IC5" s="3"/>
      <c r="ID5" s="3"/>
      <c r="IE5" s="3"/>
      <c r="IF5" s="3"/>
      <c r="IG5" s="3"/>
      <c r="IH5" s="3"/>
      <c r="II5" s="3"/>
      <c r="IJ5" s="3"/>
      <c r="IK5" s="3"/>
      <c r="IL5" s="3"/>
      <c r="IM5" s="3"/>
      <c r="IN5" s="3"/>
      <c r="IO5" s="3"/>
      <c r="IP5" s="3"/>
      <c r="IQ5" s="3"/>
      <c r="IR5" s="3"/>
    </row>
    <row r="6" spans="1:252" ht="12.75" x14ac:dyDescent="0.2">
      <c r="A6" s="635"/>
      <c r="B6" s="642"/>
      <c r="C6" s="643"/>
      <c r="D6" s="648"/>
      <c r="E6" s="535"/>
      <c r="F6" s="544"/>
      <c r="G6" s="653"/>
      <c r="H6" s="535"/>
      <c r="I6" s="73" t="s">
        <v>1654</v>
      </c>
      <c r="J6" s="47" t="s">
        <v>688</v>
      </c>
      <c r="K6" s="218" t="s">
        <v>688</v>
      </c>
      <c r="L6" s="651"/>
      <c r="M6" s="531"/>
      <c r="N6" s="648"/>
      <c r="O6" s="535"/>
      <c r="P6" s="681"/>
      <c r="Q6" s="572"/>
      <c r="R6" s="684"/>
      <c r="S6" s="531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  <c r="GS6" s="3"/>
      <c r="GT6" s="3"/>
      <c r="GU6" s="3"/>
      <c r="GV6" s="3"/>
      <c r="GW6" s="3"/>
      <c r="GX6" s="3"/>
      <c r="GY6" s="3"/>
      <c r="GZ6" s="3"/>
      <c r="HA6" s="3"/>
      <c r="HB6" s="3"/>
      <c r="HC6" s="3"/>
      <c r="HD6" s="3"/>
      <c r="HE6" s="3"/>
      <c r="HF6" s="3"/>
      <c r="HG6" s="3"/>
      <c r="HH6" s="3"/>
      <c r="HI6" s="3"/>
      <c r="HJ6" s="3"/>
      <c r="HK6" s="3"/>
      <c r="HL6" s="3"/>
      <c r="HM6" s="3"/>
      <c r="HN6" s="3"/>
      <c r="HO6" s="3"/>
      <c r="HP6" s="3"/>
      <c r="HQ6" s="3"/>
      <c r="HR6" s="3"/>
      <c r="HS6" s="3"/>
      <c r="HT6" s="3"/>
      <c r="HU6" s="3"/>
      <c r="HV6" s="3"/>
      <c r="HW6" s="3"/>
      <c r="HX6" s="3"/>
      <c r="HY6" s="3"/>
      <c r="HZ6" s="3"/>
      <c r="IA6" s="3"/>
      <c r="IB6" s="3"/>
      <c r="IC6" s="3"/>
      <c r="ID6" s="3"/>
      <c r="IE6" s="3"/>
      <c r="IF6" s="3"/>
      <c r="IG6" s="3"/>
      <c r="IH6" s="3"/>
      <c r="II6" s="3"/>
      <c r="IJ6" s="3"/>
      <c r="IK6" s="3"/>
      <c r="IL6" s="3"/>
      <c r="IM6" s="3"/>
      <c r="IN6" s="3"/>
      <c r="IO6" s="3"/>
      <c r="IP6" s="3"/>
      <c r="IQ6" s="3"/>
      <c r="IR6" s="3"/>
    </row>
    <row r="7" spans="1:252" ht="13.5" thickBot="1" x14ac:dyDescent="0.25">
      <c r="A7" s="636"/>
      <c r="B7" s="644"/>
      <c r="C7" s="645"/>
      <c r="D7" s="648"/>
      <c r="E7" s="536"/>
      <c r="F7" s="655"/>
      <c r="G7" s="654"/>
      <c r="H7" s="536"/>
      <c r="I7" s="74" t="s">
        <v>1655</v>
      </c>
      <c r="J7" s="41" t="s">
        <v>689</v>
      </c>
      <c r="K7" s="219" t="s">
        <v>690</v>
      </c>
      <c r="L7" s="652"/>
      <c r="M7" s="532"/>
      <c r="N7" s="649"/>
      <c r="O7" s="536"/>
      <c r="P7" s="682"/>
      <c r="Q7" s="712"/>
      <c r="R7" s="685"/>
      <c r="S7" s="532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  <c r="GO7" s="3"/>
      <c r="GP7" s="3"/>
      <c r="GQ7" s="3"/>
      <c r="GR7" s="3"/>
      <c r="GS7" s="3"/>
      <c r="GT7" s="3"/>
      <c r="GU7" s="3"/>
      <c r="GV7" s="3"/>
      <c r="GW7" s="3"/>
      <c r="GX7" s="3"/>
      <c r="GY7" s="3"/>
      <c r="GZ7" s="3"/>
      <c r="HA7" s="3"/>
      <c r="HB7" s="3"/>
      <c r="HC7" s="3"/>
      <c r="HD7" s="3"/>
      <c r="HE7" s="3"/>
      <c r="HF7" s="3"/>
      <c r="HG7" s="3"/>
      <c r="HH7" s="3"/>
      <c r="HI7" s="3"/>
      <c r="HJ7" s="3"/>
      <c r="HK7" s="3"/>
      <c r="HL7" s="3"/>
      <c r="HM7" s="3"/>
      <c r="HN7" s="3"/>
      <c r="HO7" s="3"/>
      <c r="HP7" s="3"/>
      <c r="HQ7" s="3"/>
      <c r="HR7" s="3"/>
      <c r="HS7" s="3"/>
      <c r="HT7" s="3"/>
      <c r="HU7" s="3"/>
      <c r="HV7" s="3"/>
      <c r="HW7" s="3"/>
      <c r="HX7" s="3"/>
      <c r="HY7" s="3"/>
      <c r="HZ7" s="3"/>
      <c r="IA7" s="3"/>
      <c r="IB7" s="3"/>
      <c r="IC7" s="3"/>
      <c r="ID7" s="3"/>
      <c r="IE7" s="3"/>
      <c r="IF7" s="3"/>
      <c r="IG7" s="3"/>
      <c r="IH7" s="3"/>
      <c r="II7" s="3"/>
      <c r="IJ7" s="3"/>
      <c r="IK7" s="3"/>
      <c r="IL7" s="3"/>
      <c r="IM7" s="3"/>
      <c r="IN7" s="3"/>
      <c r="IO7" s="3"/>
      <c r="IP7" s="3"/>
      <c r="IQ7" s="3"/>
      <c r="IR7" s="3"/>
    </row>
    <row r="8" spans="1:252" ht="18.75" thickBot="1" x14ac:dyDescent="0.3">
      <c r="A8" s="637" t="s">
        <v>2256</v>
      </c>
      <c r="B8" s="638"/>
      <c r="C8" s="639"/>
      <c r="D8" s="78"/>
      <c r="E8" s="149"/>
      <c r="F8" s="36"/>
      <c r="G8" s="75"/>
      <c r="H8" s="36"/>
      <c r="I8" s="76"/>
      <c r="J8" s="76"/>
      <c r="K8" s="77"/>
      <c r="L8" s="156"/>
      <c r="M8" s="149"/>
      <c r="N8" s="149"/>
      <c r="O8" s="139"/>
      <c r="P8" s="139"/>
      <c r="Q8" s="139"/>
      <c r="R8" s="149"/>
      <c r="S8" s="149"/>
    </row>
    <row r="9" spans="1:252" x14ac:dyDescent="0.2">
      <c r="A9" s="572">
        <v>1</v>
      </c>
      <c r="B9" s="558" t="s">
        <v>22</v>
      </c>
      <c r="C9" s="140" t="s">
        <v>23</v>
      </c>
      <c r="D9" s="78">
        <v>8.25</v>
      </c>
      <c r="E9" s="543" t="s">
        <v>655</v>
      </c>
      <c r="F9" s="552" t="s">
        <v>246</v>
      </c>
      <c r="G9" s="79" t="s">
        <v>447</v>
      </c>
      <c r="H9" s="609" t="s">
        <v>21</v>
      </c>
      <c r="I9" s="589">
        <v>41264</v>
      </c>
      <c r="J9" s="589">
        <v>41346</v>
      </c>
      <c r="K9" s="577">
        <v>41438</v>
      </c>
      <c r="L9" s="588">
        <v>24282</v>
      </c>
      <c r="M9" s="588"/>
      <c r="N9" s="716"/>
      <c r="O9" s="615"/>
      <c r="P9" s="580"/>
      <c r="Q9" s="571" t="s">
        <v>25</v>
      </c>
      <c r="R9" s="543" t="s">
        <v>271</v>
      </c>
      <c r="S9" s="543"/>
    </row>
    <row r="10" spans="1:252" x14ac:dyDescent="0.2">
      <c r="A10" s="572"/>
      <c r="B10" s="559"/>
      <c r="C10" s="140" t="s">
        <v>24</v>
      </c>
      <c r="D10" s="78">
        <v>2</v>
      </c>
      <c r="E10" s="545"/>
      <c r="F10" s="554"/>
      <c r="G10" s="75" t="s">
        <v>448</v>
      </c>
      <c r="H10" s="585"/>
      <c r="I10" s="591"/>
      <c r="J10" s="590"/>
      <c r="K10" s="578"/>
      <c r="L10" s="587"/>
      <c r="M10" s="587"/>
      <c r="N10" s="717"/>
      <c r="O10" s="617"/>
      <c r="P10" s="581"/>
      <c r="Q10" s="573"/>
      <c r="R10" s="545"/>
      <c r="S10" s="544"/>
    </row>
    <row r="11" spans="1:252" s="105" customFormat="1" x14ac:dyDescent="0.2">
      <c r="A11" s="573"/>
      <c r="B11" s="131"/>
      <c r="C11" s="140"/>
      <c r="D11" s="83">
        <f>SUM(D9:D10)</f>
        <v>10.25</v>
      </c>
      <c r="E11" s="151"/>
      <c r="F11" s="24"/>
      <c r="G11" s="63"/>
      <c r="H11" s="163"/>
      <c r="I11" s="81"/>
      <c r="J11" s="81"/>
      <c r="K11" s="82"/>
      <c r="L11" s="156"/>
      <c r="M11" s="153"/>
      <c r="N11" s="260"/>
      <c r="O11" s="140"/>
      <c r="P11" s="140"/>
      <c r="Q11" s="80"/>
      <c r="R11" s="151"/>
      <c r="S11" s="153"/>
    </row>
    <row r="12" spans="1:252" s="349" customFormat="1" x14ac:dyDescent="0.2">
      <c r="A12" s="745">
        <v>2</v>
      </c>
      <c r="B12" s="753" t="s">
        <v>30</v>
      </c>
      <c r="C12" s="307" t="s">
        <v>31</v>
      </c>
      <c r="D12" s="308">
        <v>6.6</v>
      </c>
      <c r="E12" s="721" t="s">
        <v>655</v>
      </c>
      <c r="F12" s="733" t="s">
        <v>246</v>
      </c>
      <c r="G12" s="309" t="s">
        <v>1518</v>
      </c>
      <c r="H12" s="736" t="s">
        <v>26</v>
      </c>
      <c r="I12" s="739">
        <v>41264</v>
      </c>
      <c r="J12" s="739"/>
      <c r="K12" s="739"/>
      <c r="L12" s="750">
        <v>41346.400000000001</v>
      </c>
      <c r="M12" s="750"/>
      <c r="N12" s="721">
        <v>100</v>
      </c>
      <c r="O12" s="742" t="s">
        <v>2298</v>
      </c>
      <c r="P12" s="742"/>
      <c r="Q12" s="745" t="s">
        <v>27</v>
      </c>
      <c r="R12" s="721" t="s">
        <v>271</v>
      </c>
      <c r="S12" s="721"/>
    </row>
    <row r="13" spans="1:252" s="349" customFormat="1" x14ac:dyDescent="0.2">
      <c r="A13" s="746"/>
      <c r="B13" s="754"/>
      <c r="C13" s="307" t="s">
        <v>32</v>
      </c>
      <c r="D13" s="308">
        <v>6.6</v>
      </c>
      <c r="E13" s="722"/>
      <c r="F13" s="734"/>
      <c r="G13" s="309" t="s">
        <v>1517</v>
      </c>
      <c r="H13" s="737"/>
      <c r="I13" s="740"/>
      <c r="J13" s="740"/>
      <c r="K13" s="740"/>
      <c r="L13" s="751"/>
      <c r="M13" s="751"/>
      <c r="N13" s="722"/>
      <c r="O13" s="743"/>
      <c r="P13" s="743"/>
      <c r="Q13" s="746"/>
      <c r="R13" s="722"/>
      <c r="S13" s="722"/>
    </row>
    <row r="14" spans="1:252" s="349" customFormat="1" ht="21" customHeight="1" x14ac:dyDescent="0.2">
      <c r="A14" s="746"/>
      <c r="B14" s="762"/>
      <c r="C14" s="307" t="s">
        <v>33</v>
      </c>
      <c r="D14" s="308">
        <v>4</v>
      </c>
      <c r="E14" s="732"/>
      <c r="F14" s="735"/>
      <c r="G14" s="309" t="s">
        <v>1519</v>
      </c>
      <c r="H14" s="738"/>
      <c r="I14" s="741"/>
      <c r="J14" s="741"/>
      <c r="K14" s="741"/>
      <c r="L14" s="755"/>
      <c r="M14" s="755"/>
      <c r="N14" s="722"/>
      <c r="O14" s="744"/>
      <c r="P14" s="743"/>
      <c r="Q14" s="747"/>
      <c r="R14" s="732" t="s">
        <v>150</v>
      </c>
      <c r="S14" s="722"/>
    </row>
    <row r="15" spans="1:252" s="365" customFormat="1" x14ac:dyDescent="0.2">
      <c r="A15" s="747"/>
      <c r="B15" s="413"/>
      <c r="C15" s="307"/>
      <c r="D15" s="311">
        <f>SUM(D12:D14)</f>
        <v>17.2</v>
      </c>
      <c r="E15" s="418"/>
      <c r="F15" s="313"/>
      <c r="G15" s="309"/>
      <c r="H15" s="416"/>
      <c r="I15" s="315"/>
      <c r="J15" s="315"/>
      <c r="K15" s="316"/>
      <c r="L15" s="414"/>
      <c r="M15" s="318"/>
      <c r="N15" s="318"/>
      <c r="O15" s="307"/>
      <c r="P15" s="307"/>
      <c r="Q15" s="364" t="s">
        <v>2</v>
      </c>
      <c r="R15" s="418"/>
      <c r="S15" s="318"/>
    </row>
    <row r="16" spans="1:252" ht="20.25" customHeight="1" x14ac:dyDescent="0.2">
      <c r="A16" s="572">
        <v>3</v>
      </c>
      <c r="B16" s="558" t="s">
        <v>1694</v>
      </c>
      <c r="C16" s="140" t="s">
        <v>1692</v>
      </c>
      <c r="D16" s="78">
        <v>10</v>
      </c>
      <c r="E16" s="543" t="s">
        <v>655</v>
      </c>
      <c r="F16" s="552" t="s">
        <v>246</v>
      </c>
      <c r="G16" s="63" t="s">
        <v>1601</v>
      </c>
      <c r="H16" s="609" t="s">
        <v>34</v>
      </c>
      <c r="I16" s="589">
        <v>41264</v>
      </c>
      <c r="J16" s="589">
        <v>41341</v>
      </c>
      <c r="K16" s="589">
        <v>41433</v>
      </c>
      <c r="L16" s="588">
        <v>36920</v>
      </c>
      <c r="M16" s="588">
        <v>32055.55</v>
      </c>
      <c r="N16" s="716">
        <v>100</v>
      </c>
      <c r="O16" s="615" t="s">
        <v>1874</v>
      </c>
      <c r="P16" s="580"/>
      <c r="Q16" s="571" t="s">
        <v>35</v>
      </c>
      <c r="R16" s="543" t="s">
        <v>271</v>
      </c>
      <c r="S16" s="543"/>
    </row>
    <row r="17" spans="1:19" ht="24" customHeight="1" x14ac:dyDescent="0.2">
      <c r="A17" s="572"/>
      <c r="B17" s="559"/>
      <c r="C17" s="140" t="s">
        <v>1693</v>
      </c>
      <c r="D17" s="78">
        <v>5.2</v>
      </c>
      <c r="E17" s="545"/>
      <c r="F17" s="554"/>
      <c r="G17" s="62" t="s">
        <v>1912</v>
      </c>
      <c r="H17" s="585"/>
      <c r="I17" s="591"/>
      <c r="J17" s="590"/>
      <c r="K17" s="590"/>
      <c r="L17" s="587"/>
      <c r="M17" s="587"/>
      <c r="N17" s="717"/>
      <c r="O17" s="617"/>
      <c r="P17" s="581"/>
      <c r="Q17" s="573"/>
      <c r="R17" s="545"/>
      <c r="S17" s="544"/>
    </row>
    <row r="18" spans="1:19" s="105" customFormat="1" x14ac:dyDescent="0.2">
      <c r="A18" s="573"/>
      <c r="B18" s="131"/>
      <c r="C18" s="140"/>
      <c r="D18" s="83">
        <f>SUM(D16:D17)</f>
        <v>15.2</v>
      </c>
      <c r="E18" s="151"/>
      <c r="F18" s="24"/>
      <c r="G18" s="63"/>
      <c r="H18" s="163"/>
      <c r="I18" s="81"/>
      <c r="J18" s="81"/>
      <c r="K18" s="82"/>
      <c r="L18" s="156"/>
      <c r="M18" s="153"/>
      <c r="N18" s="260"/>
      <c r="O18" s="140"/>
      <c r="P18" s="140"/>
      <c r="Q18" s="80"/>
      <c r="R18" s="151"/>
      <c r="S18" s="153"/>
    </row>
    <row r="19" spans="1:19" s="349" customFormat="1" x14ac:dyDescent="0.2">
      <c r="A19" s="746">
        <v>4</v>
      </c>
      <c r="B19" s="754" t="s">
        <v>1697</v>
      </c>
      <c r="C19" s="379" t="s">
        <v>1698</v>
      </c>
      <c r="D19" s="354">
        <v>9.3000000000000007</v>
      </c>
      <c r="E19" s="721" t="s">
        <v>655</v>
      </c>
      <c r="F19" s="733" t="s">
        <v>246</v>
      </c>
      <c r="G19" s="309" t="s">
        <v>1774</v>
      </c>
      <c r="H19" s="736" t="s">
        <v>1695</v>
      </c>
      <c r="I19" s="739">
        <v>41264</v>
      </c>
      <c r="J19" s="739"/>
      <c r="K19" s="769">
        <v>41533</v>
      </c>
      <c r="L19" s="750">
        <v>41926</v>
      </c>
      <c r="M19" s="750">
        <v>44975.21</v>
      </c>
      <c r="N19" s="721">
        <v>100</v>
      </c>
      <c r="O19" s="742" t="s">
        <v>2291</v>
      </c>
      <c r="P19" s="742"/>
      <c r="Q19" s="745" t="s">
        <v>1696</v>
      </c>
      <c r="R19" s="721" t="s">
        <v>271</v>
      </c>
      <c r="S19" s="721"/>
    </row>
    <row r="20" spans="1:19" s="349" customFormat="1" x14ac:dyDescent="0.2">
      <c r="A20" s="746"/>
      <c r="B20" s="754"/>
      <c r="C20" s="379" t="s">
        <v>1699</v>
      </c>
      <c r="D20" s="308">
        <v>4.0999999999999996</v>
      </c>
      <c r="E20" s="722"/>
      <c r="F20" s="734"/>
      <c r="G20" s="309" t="s">
        <v>1773</v>
      </c>
      <c r="H20" s="737"/>
      <c r="I20" s="740"/>
      <c r="J20" s="740"/>
      <c r="K20" s="770"/>
      <c r="L20" s="751"/>
      <c r="M20" s="751"/>
      <c r="N20" s="722"/>
      <c r="O20" s="743"/>
      <c r="P20" s="743"/>
      <c r="Q20" s="746"/>
      <c r="R20" s="722"/>
      <c r="S20" s="722"/>
    </row>
    <row r="21" spans="1:19" s="349" customFormat="1" x14ac:dyDescent="0.2">
      <c r="A21" s="746"/>
      <c r="B21" s="754"/>
      <c r="C21" s="379" t="s">
        <v>1700</v>
      </c>
      <c r="D21" s="308">
        <v>2.6</v>
      </c>
      <c r="E21" s="722"/>
      <c r="F21" s="734"/>
      <c r="G21" s="309" t="s">
        <v>1485</v>
      </c>
      <c r="H21" s="737"/>
      <c r="I21" s="740"/>
      <c r="J21" s="740"/>
      <c r="K21" s="770"/>
      <c r="L21" s="751"/>
      <c r="M21" s="751"/>
      <c r="N21" s="722"/>
      <c r="O21" s="743"/>
      <c r="P21" s="743"/>
      <c r="Q21" s="746"/>
      <c r="R21" s="722"/>
      <c r="S21" s="722"/>
    </row>
    <row r="22" spans="1:19" s="349" customFormat="1" x14ac:dyDescent="0.2">
      <c r="A22" s="746"/>
      <c r="B22" s="754"/>
      <c r="C22" s="379" t="s">
        <v>1701</v>
      </c>
      <c r="D22" s="308">
        <v>1.5</v>
      </c>
      <c r="E22" s="722"/>
      <c r="F22" s="734"/>
      <c r="G22" s="309" t="s">
        <v>1597</v>
      </c>
      <c r="H22" s="737"/>
      <c r="I22" s="740"/>
      <c r="J22" s="740"/>
      <c r="K22" s="770"/>
      <c r="L22" s="755"/>
      <c r="M22" s="751"/>
      <c r="N22" s="722"/>
      <c r="O22" s="743"/>
      <c r="P22" s="743"/>
      <c r="Q22" s="746"/>
      <c r="R22" s="722"/>
      <c r="S22" s="722"/>
    </row>
    <row r="23" spans="1:19" s="349" customFormat="1" x14ac:dyDescent="0.2">
      <c r="A23" s="747"/>
      <c r="B23" s="336"/>
      <c r="C23" s="307"/>
      <c r="D23" s="311">
        <f>SUM(D19:D22)</f>
        <v>17.5</v>
      </c>
      <c r="E23" s="359"/>
      <c r="F23" s="313"/>
      <c r="G23" s="309"/>
      <c r="H23" s="341"/>
      <c r="I23" s="315"/>
      <c r="J23" s="315"/>
      <c r="K23" s="316"/>
      <c r="L23" s="410"/>
      <c r="M23" s="318"/>
      <c r="N23" s="318"/>
      <c r="O23" s="307"/>
      <c r="P23" s="307"/>
      <c r="Q23" s="364"/>
      <c r="R23" s="359"/>
      <c r="S23" s="318"/>
    </row>
    <row r="24" spans="1:19" x14ac:dyDescent="0.2">
      <c r="A24" s="572">
        <v>5</v>
      </c>
      <c r="B24" s="558" t="s">
        <v>479</v>
      </c>
      <c r="C24" s="140" t="s">
        <v>478</v>
      </c>
      <c r="D24" s="78">
        <v>5.2</v>
      </c>
      <c r="E24" s="543" t="s">
        <v>655</v>
      </c>
      <c r="F24" s="552" t="s">
        <v>246</v>
      </c>
      <c r="G24" s="63" t="s">
        <v>1244</v>
      </c>
      <c r="H24" s="609" t="s">
        <v>476</v>
      </c>
      <c r="I24" s="589">
        <v>41264</v>
      </c>
      <c r="J24" s="589">
        <v>41394</v>
      </c>
      <c r="K24" s="589">
        <v>41485</v>
      </c>
      <c r="L24" s="588">
        <v>31080</v>
      </c>
      <c r="M24" s="588"/>
      <c r="N24" s="721">
        <v>100</v>
      </c>
      <c r="O24" s="615" t="s">
        <v>1402</v>
      </c>
      <c r="P24" s="580"/>
      <c r="Q24" s="571" t="s">
        <v>477</v>
      </c>
      <c r="R24" s="543" t="s">
        <v>271</v>
      </c>
      <c r="S24" s="543"/>
    </row>
    <row r="25" spans="1:19" x14ac:dyDescent="0.2">
      <c r="A25" s="572"/>
      <c r="B25" s="613"/>
      <c r="C25" s="140" t="s">
        <v>480</v>
      </c>
      <c r="D25" s="78">
        <v>1.5</v>
      </c>
      <c r="E25" s="544"/>
      <c r="F25" s="553"/>
      <c r="G25" s="63" t="s">
        <v>1247</v>
      </c>
      <c r="H25" s="584"/>
      <c r="I25" s="590"/>
      <c r="J25" s="590"/>
      <c r="K25" s="590"/>
      <c r="L25" s="586"/>
      <c r="M25" s="586"/>
      <c r="N25" s="722"/>
      <c r="O25" s="616"/>
      <c r="P25" s="581"/>
      <c r="Q25" s="572"/>
      <c r="R25" s="544"/>
      <c r="S25" s="544"/>
    </row>
    <row r="26" spans="1:19" x14ac:dyDescent="0.2">
      <c r="A26" s="572"/>
      <c r="B26" s="613"/>
      <c r="C26" s="140" t="s">
        <v>483</v>
      </c>
      <c r="D26" s="78">
        <v>0.5</v>
      </c>
      <c r="E26" s="544"/>
      <c r="F26" s="553"/>
      <c r="G26" s="63" t="s">
        <v>481</v>
      </c>
      <c r="H26" s="584"/>
      <c r="I26" s="590"/>
      <c r="J26" s="590"/>
      <c r="K26" s="590"/>
      <c r="L26" s="586"/>
      <c r="M26" s="586"/>
      <c r="N26" s="722"/>
      <c r="O26" s="616"/>
      <c r="P26" s="581"/>
      <c r="Q26" s="572"/>
      <c r="R26" s="544"/>
      <c r="S26" s="544"/>
    </row>
    <row r="27" spans="1:19" x14ac:dyDescent="0.2">
      <c r="A27" s="572"/>
      <c r="B27" s="613"/>
      <c r="C27" s="140" t="s">
        <v>484</v>
      </c>
      <c r="D27" s="78">
        <v>4</v>
      </c>
      <c r="E27" s="544"/>
      <c r="F27" s="553"/>
      <c r="G27" s="63" t="s">
        <v>482</v>
      </c>
      <c r="H27" s="584"/>
      <c r="I27" s="590"/>
      <c r="J27" s="590"/>
      <c r="K27" s="590"/>
      <c r="L27" s="586"/>
      <c r="M27" s="586"/>
      <c r="N27" s="722"/>
      <c r="O27" s="616"/>
      <c r="P27" s="581"/>
      <c r="Q27" s="572"/>
      <c r="R27" s="544"/>
      <c r="S27" s="544"/>
    </row>
    <row r="28" spans="1:19" x14ac:dyDescent="0.2">
      <c r="A28" s="572"/>
      <c r="B28" s="613"/>
      <c r="C28" s="140" t="s">
        <v>2253</v>
      </c>
      <c r="D28" s="78">
        <v>0.8</v>
      </c>
      <c r="E28" s="544"/>
      <c r="F28" s="553"/>
      <c r="G28" s="63" t="s">
        <v>297</v>
      </c>
      <c r="H28" s="584"/>
      <c r="I28" s="590"/>
      <c r="J28" s="590"/>
      <c r="K28" s="590"/>
      <c r="L28" s="586"/>
      <c r="M28" s="586"/>
      <c r="N28" s="722"/>
      <c r="O28" s="616"/>
      <c r="P28" s="581"/>
      <c r="Q28" s="572"/>
      <c r="R28" s="544"/>
      <c r="S28" s="544"/>
    </row>
    <row r="29" spans="1:19" x14ac:dyDescent="0.2">
      <c r="A29" s="572"/>
      <c r="B29" s="559"/>
      <c r="C29" s="140" t="s">
        <v>485</v>
      </c>
      <c r="D29" s="78">
        <v>1</v>
      </c>
      <c r="E29" s="545"/>
      <c r="F29" s="554"/>
      <c r="G29" s="63" t="s">
        <v>1246</v>
      </c>
      <c r="H29" s="585"/>
      <c r="I29" s="591"/>
      <c r="J29" s="590"/>
      <c r="K29" s="590"/>
      <c r="L29" s="587"/>
      <c r="M29" s="587"/>
      <c r="N29" s="722"/>
      <c r="O29" s="617"/>
      <c r="P29" s="581"/>
      <c r="Q29" s="573"/>
      <c r="R29" s="545"/>
      <c r="S29" s="544"/>
    </row>
    <row r="30" spans="1:19" s="105" customFormat="1" x14ac:dyDescent="0.2">
      <c r="A30" s="573"/>
      <c r="B30" s="131"/>
      <c r="C30" s="140"/>
      <c r="D30" s="83">
        <f>SUM(D24:D29)</f>
        <v>13</v>
      </c>
      <c r="E30" s="151"/>
      <c r="F30" s="24"/>
      <c r="G30" s="63"/>
      <c r="H30" s="163"/>
      <c r="I30" s="81"/>
      <c r="J30" s="81"/>
      <c r="K30" s="82"/>
      <c r="L30" s="156"/>
      <c r="M30" s="153"/>
      <c r="N30" s="260"/>
      <c r="O30" s="140"/>
      <c r="P30" s="140"/>
      <c r="Q30" s="80"/>
      <c r="R30" s="151"/>
      <c r="S30" s="153"/>
    </row>
    <row r="31" spans="1:19" s="292" customFormat="1" x14ac:dyDescent="0.2">
      <c r="A31" s="572">
        <v>6</v>
      </c>
      <c r="B31" s="774" t="s">
        <v>487</v>
      </c>
      <c r="C31" s="506" t="s">
        <v>486</v>
      </c>
      <c r="D31" s="405">
        <v>14.7</v>
      </c>
      <c r="E31" s="756" t="s">
        <v>655</v>
      </c>
      <c r="F31" s="777" t="s">
        <v>136</v>
      </c>
      <c r="G31" s="402" t="s">
        <v>488</v>
      </c>
      <c r="H31" s="784" t="s">
        <v>2236</v>
      </c>
      <c r="I31" s="772">
        <v>41264</v>
      </c>
      <c r="J31" s="772">
        <v>41325</v>
      </c>
      <c r="K31" s="772">
        <v>41414</v>
      </c>
      <c r="L31" s="758">
        <v>11871</v>
      </c>
      <c r="M31" s="758">
        <v>17184.400000000001</v>
      </c>
      <c r="N31" s="756">
        <v>100</v>
      </c>
      <c r="O31" s="792" t="s">
        <v>2369</v>
      </c>
      <c r="P31" s="792" t="s">
        <v>2370</v>
      </c>
      <c r="Q31" s="801" t="s">
        <v>467</v>
      </c>
      <c r="R31" s="756" t="s">
        <v>271</v>
      </c>
      <c r="S31" s="756"/>
    </row>
    <row r="32" spans="1:19" s="292" customFormat="1" x14ac:dyDescent="0.2">
      <c r="A32" s="572"/>
      <c r="B32" s="774"/>
      <c r="C32" s="506" t="s">
        <v>490</v>
      </c>
      <c r="D32" s="404">
        <v>5.0999999999999996</v>
      </c>
      <c r="E32" s="757"/>
      <c r="F32" s="778"/>
      <c r="G32" s="402" t="s">
        <v>1615</v>
      </c>
      <c r="H32" s="785"/>
      <c r="I32" s="773"/>
      <c r="J32" s="773"/>
      <c r="K32" s="773"/>
      <c r="L32" s="759"/>
      <c r="M32" s="759"/>
      <c r="N32" s="757"/>
      <c r="O32" s="793"/>
      <c r="P32" s="793"/>
      <c r="Q32" s="802"/>
      <c r="R32" s="757"/>
      <c r="S32" s="757"/>
    </row>
    <row r="33" spans="1:19" s="292" customFormat="1" x14ac:dyDescent="0.2">
      <c r="A33" s="572"/>
      <c r="B33" s="774"/>
      <c r="C33" s="506" t="s">
        <v>1204</v>
      </c>
      <c r="D33" s="404">
        <v>11.7</v>
      </c>
      <c r="E33" s="757"/>
      <c r="F33" s="778"/>
      <c r="G33" s="402" t="s">
        <v>1439</v>
      </c>
      <c r="H33" s="785"/>
      <c r="I33" s="773"/>
      <c r="J33" s="773"/>
      <c r="K33" s="773"/>
      <c r="L33" s="759"/>
      <c r="M33" s="759"/>
      <c r="N33" s="757"/>
      <c r="O33" s="793"/>
      <c r="P33" s="793"/>
      <c r="Q33" s="802"/>
      <c r="R33" s="757"/>
      <c r="S33" s="757"/>
    </row>
    <row r="34" spans="1:19" s="292" customFormat="1" x14ac:dyDescent="0.2">
      <c r="A34" s="572"/>
      <c r="B34" s="774"/>
      <c r="C34" s="506" t="s">
        <v>491</v>
      </c>
      <c r="D34" s="404">
        <v>4</v>
      </c>
      <c r="E34" s="757"/>
      <c r="F34" s="778"/>
      <c r="G34" s="402" t="s">
        <v>489</v>
      </c>
      <c r="H34" s="785"/>
      <c r="I34" s="773"/>
      <c r="J34" s="773"/>
      <c r="K34" s="773"/>
      <c r="L34" s="760"/>
      <c r="M34" s="759"/>
      <c r="N34" s="757"/>
      <c r="O34" s="793"/>
      <c r="P34" s="793"/>
      <c r="Q34" s="802"/>
      <c r="R34" s="757"/>
      <c r="S34" s="757"/>
    </row>
    <row r="35" spans="1:19" x14ac:dyDescent="0.2">
      <c r="A35" s="573"/>
      <c r="B35" s="20"/>
      <c r="C35" s="140"/>
      <c r="D35" s="83">
        <f>SUM(D31:D34)</f>
        <v>35.5</v>
      </c>
      <c r="E35" s="152"/>
      <c r="F35" s="24"/>
      <c r="G35" s="63"/>
      <c r="H35" s="160"/>
      <c r="I35" s="81"/>
      <c r="J35" s="81"/>
      <c r="K35" s="82"/>
      <c r="L35" s="165"/>
      <c r="M35" s="153"/>
      <c r="N35" s="260"/>
      <c r="O35" s="140"/>
      <c r="P35" s="140"/>
      <c r="Q35" s="80"/>
      <c r="R35" s="152"/>
      <c r="S35" s="153"/>
    </row>
    <row r="36" spans="1:19" s="349" customFormat="1" x14ac:dyDescent="0.2">
      <c r="A36" s="572">
        <v>7</v>
      </c>
      <c r="B36" s="754" t="s">
        <v>468</v>
      </c>
      <c r="C36" s="379" t="s">
        <v>469</v>
      </c>
      <c r="D36" s="354">
        <v>6</v>
      </c>
      <c r="E36" s="721" t="s">
        <v>655</v>
      </c>
      <c r="F36" s="733" t="s">
        <v>246</v>
      </c>
      <c r="G36" s="309" t="s">
        <v>470</v>
      </c>
      <c r="H36" s="736" t="s">
        <v>493</v>
      </c>
      <c r="I36" s="739">
        <v>41264</v>
      </c>
      <c r="J36" s="739"/>
      <c r="K36" s="739"/>
      <c r="L36" s="750">
        <v>30082</v>
      </c>
      <c r="M36" s="750"/>
      <c r="N36" s="721">
        <v>100</v>
      </c>
      <c r="O36" s="742" t="s">
        <v>2284</v>
      </c>
      <c r="P36" s="742"/>
      <c r="Q36" s="745" t="s">
        <v>466</v>
      </c>
      <c r="R36" s="721" t="s">
        <v>271</v>
      </c>
      <c r="S36" s="721"/>
    </row>
    <row r="37" spans="1:19" s="349" customFormat="1" x14ac:dyDescent="0.2">
      <c r="A37" s="572"/>
      <c r="B37" s="754"/>
      <c r="C37" s="379" t="s">
        <v>473</v>
      </c>
      <c r="D37" s="308">
        <v>3</v>
      </c>
      <c r="E37" s="722"/>
      <c r="F37" s="734"/>
      <c r="G37" s="309" t="s">
        <v>1245</v>
      </c>
      <c r="H37" s="737"/>
      <c r="I37" s="740"/>
      <c r="J37" s="740"/>
      <c r="K37" s="740"/>
      <c r="L37" s="751"/>
      <c r="M37" s="751"/>
      <c r="N37" s="722"/>
      <c r="O37" s="743"/>
      <c r="P37" s="743"/>
      <c r="Q37" s="746"/>
      <c r="R37" s="722"/>
      <c r="S37" s="722"/>
    </row>
    <row r="38" spans="1:19" s="349" customFormat="1" x14ac:dyDescent="0.2">
      <c r="A38" s="572"/>
      <c r="B38" s="754"/>
      <c r="C38" s="379" t="s">
        <v>474</v>
      </c>
      <c r="D38" s="308">
        <v>0.5</v>
      </c>
      <c r="E38" s="722"/>
      <c r="F38" s="734"/>
      <c r="G38" s="309" t="s">
        <v>471</v>
      </c>
      <c r="H38" s="737"/>
      <c r="I38" s="740"/>
      <c r="J38" s="740"/>
      <c r="K38" s="740"/>
      <c r="L38" s="751"/>
      <c r="M38" s="751"/>
      <c r="N38" s="722"/>
      <c r="O38" s="743"/>
      <c r="P38" s="743"/>
      <c r="Q38" s="746"/>
      <c r="R38" s="722"/>
      <c r="S38" s="722"/>
    </row>
    <row r="39" spans="1:19" s="349" customFormat="1" x14ac:dyDescent="0.2">
      <c r="A39" s="572"/>
      <c r="B39" s="754"/>
      <c r="C39" s="379" t="s">
        <v>475</v>
      </c>
      <c r="D39" s="308">
        <v>2.2000000000000002</v>
      </c>
      <c r="E39" s="722"/>
      <c r="F39" s="734"/>
      <c r="G39" s="309" t="s">
        <v>1293</v>
      </c>
      <c r="H39" s="737"/>
      <c r="I39" s="740"/>
      <c r="J39" s="740"/>
      <c r="K39" s="740"/>
      <c r="L39" s="751"/>
      <c r="M39" s="751"/>
      <c r="N39" s="722"/>
      <c r="O39" s="743"/>
      <c r="P39" s="743"/>
      <c r="Q39" s="746"/>
      <c r="R39" s="722"/>
      <c r="S39" s="722"/>
    </row>
    <row r="40" spans="1:19" s="349" customFormat="1" x14ac:dyDescent="0.2">
      <c r="A40" s="572"/>
      <c r="B40" s="754"/>
      <c r="C40" s="379" t="s">
        <v>1120</v>
      </c>
      <c r="D40" s="308">
        <v>0.6</v>
      </c>
      <c r="E40" s="722"/>
      <c r="F40" s="734"/>
      <c r="G40" s="309" t="s">
        <v>472</v>
      </c>
      <c r="H40" s="737"/>
      <c r="I40" s="740"/>
      <c r="J40" s="740"/>
      <c r="K40" s="740"/>
      <c r="L40" s="755"/>
      <c r="M40" s="751"/>
      <c r="N40" s="722"/>
      <c r="O40" s="743"/>
      <c r="P40" s="743"/>
      <c r="Q40" s="746"/>
      <c r="R40" s="722"/>
      <c r="S40" s="722"/>
    </row>
    <row r="41" spans="1:19" x14ac:dyDescent="0.2">
      <c r="A41" s="573"/>
      <c r="B41" s="20"/>
      <c r="C41" s="140"/>
      <c r="D41" s="83">
        <f>SUM(D36:D40)</f>
        <v>12.299999999999999</v>
      </c>
      <c r="E41" s="152"/>
      <c r="F41" s="24"/>
      <c r="G41" s="63"/>
      <c r="H41" s="160"/>
      <c r="I41" s="81"/>
      <c r="J41" s="81"/>
      <c r="K41" s="82"/>
      <c r="L41" s="165"/>
      <c r="M41" s="153"/>
      <c r="N41" s="260"/>
      <c r="O41" s="140"/>
      <c r="P41" s="140"/>
      <c r="Q41" s="80"/>
      <c r="R41" s="152"/>
      <c r="S41" s="153"/>
    </row>
    <row r="42" spans="1:19" s="365" customFormat="1" ht="52.5" customHeight="1" x14ac:dyDescent="0.2">
      <c r="A42" s="775">
        <v>8</v>
      </c>
      <c r="B42" s="336" t="s">
        <v>1121</v>
      </c>
      <c r="C42" s="336" t="s">
        <v>1121</v>
      </c>
      <c r="D42" s="360">
        <v>19.2</v>
      </c>
      <c r="E42" s="359" t="s">
        <v>533</v>
      </c>
      <c r="F42" s="313" t="s">
        <v>246</v>
      </c>
      <c r="G42" s="361" t="s">
        <v>1649</v>
      </c>
      <c r="H42" s="341" t="s">
        <v>1122</v>
      </c>
      <c r="I42" s="362">
        <v>41264</v>
      </c>
      <c r="J42" s="362"/>
      <c r="K42" s="421">
        <v>41481</v>
      </c>
      <c r="L42" s="363">
        <v>47624</v>
      </c>
      <c r="M42" s="363">
        <v>39124.94</v>
      </c>
      <c r="N42" s="359">
        <v>100</v>
      </c>
      <c r="O42" s="320" t="s">
        <v>2285</v>
      </c>
      <c r="P42" s="352"/>
      <c r="Q42" s="364" t="s">
        <v>1123</v>
      </c>
      <c r="R42" s="359" t="s">
        <v>271</v>
      </c>
      <c r="S42" s="359"/>
    </row>
    <row r="43" spans="1:19" s="349" customFormat="1" ht="12.75" customHeight="1" x14ac:dyDescent="0.2">
      <c r="A43" s="776"/>
      <c r="B43" s="387"/>
      <c r="C43" s="379"/>
      <c r="D43" s="392">
        <f>SUM(D42:D42)</f>
        <v>19.2</v>
      </c>
      <c r="E43" s="381"/>
      <c r="F43" s="393"/>
      <c r="G43" s="394"/>
      <c r="H43" s="384"/>
      <c r="I43" s="362"/>
      <c r="J43" s="377"/>
      <c r="K43" s="378"/>
      <c r="L43" s="389"/>
      <c r="M43" s="382"/>
      <c r="N43" s="382"/>
      <c r="O43" s="379"/>
      <c r="P43" s="379"/>
      <c r="Q43" s="395"/>
      <c r="R43" s="381"/>
      <c r="S43" s="382"/>
    </row>
    <row r="44" spans="1:19" s="105" customFormat="1" ht="46.5" customHeight="1" x14ac:dyDescent="0.2">
      <c r="A44" s="659">
        <v>9</v>
      </c>
      <c r="B44" s="20" t="s">
        <v>1126</v>
      </c>
      <c r="C44" s="20" t="s">
        <v>1126</v>
      </c>
      <c r="D44" s="96">
        <v>14.5</v>
      </c>
      <c r="E44" s="152" t="s">
        <v>533</v>
      </c>
      <c r="F44" s="24" t="s">
        <v>246</v>
      </c>
      <c r="G44" s="63" t="s">
        <v>2017</v>
      </c>
      <c r="H44" s="160" t="s">
        <v>1125</v>
      </c>
      <c r="I44" s="104">
        <v>41264</v>
      </c>
      <c r="J44" s="104"/>
      <c r="K44" s="106"/>
      <c r="L44" s="167">
        <v>35217</v>
      </c>
      <c r="M44" s="167">
        <v>30046.9</v>
      </c>
      <c r="N44" s="359">
        <v>100</v>
      </c>
      <c r="O44" s="119" t="s">
        <v>1974</v>
      </c>
      <c r="P44" s="107"/>
      <c r="Q44" s="80" t="s">
        <v>1124</v>
      </c>
      <c r="R44" s="152" t="s">
        <v>271</v>
      </c>
      <c r="S44" s="152">
        <v>1</v>
      </c>
    </row>
    <row r="45" spans="1:19" ht="12.75" customHeight="1" x14ac:dyDescent="0.2">
      <c r="A45" s="564"/>
      <c r="B45" s="131"/>
      <c r="C45" s="139"/>
      <c r="D45" s="95">
        <f>SUM(D44:D44)</f>
        <v>14.5</v>
      </c>
      <c r="E45" s="151"/>
      <c r="F45" s="36"/>
      <c r="G45" s="75"/>
      <c r="H45" s="163"/>
      <c r="I45" s="104"/>
      <c r="J45" s="76"/>
      <c r="K45" s="77"/>
      <c r="L45" s="156"/>
      <c r="M45" s="149"/>
      <c r="N45" s="262"/>
      <c r="O45" s="139"/>
      <c r="P45" s="139"/>
      <c r="Q45" s="67"/>
      <c r="R45" s="151"/>
      <c r="S45" s="149"/>
    </row>
    <row r="46" spans="1:19" x14ac:dyDescent="0.2">
      <c r="A46" s="572">
        <v>10</v>
      </c>
      <c r="B46" s="558" t="s">
        <v>1127</v>
      </c>
      <c r="C46" s="140" t="s">
        <v>1128</v>
      </c>
      <c r="D46" s="78">
        <v>14</v>
      </c>
      <c r="E46" s="543" t="s">
        <v>533</v>
      </c>
      <c r="F46" s="552" t="s">
        <v>246</v>
      </c>
      <c r="G46" s="63" t="s">
        <v>158</v>
      </c>
      <c r="H46" s="609" t="s">
        <v>1131</v>
      </c>
      <c r="I46" s="589">
        <v>41264</v>
      </c>
      <c r="J46" s="589"/>
      <c r="K46" s="589"/>
      <c r="L46" s="588">
        <v>49698</v>
      </c>
      <c r="M46" s="588"/>
      <c r="N46" s="716"/>
      <c r="O46" s="615"/>
      <c r="P46" s="580"/>
      <c r="Q46" s="571" t="s">
        <v>1132</v>
      </c>
      <c r="R46" s="543" t="s">
        <v>271</v>
      </c>
      <c r="S46" s="543"/>
    </row>
    <row r="47" spans="1:19" x14ac:dyDescent="0.2">
      <c r="A47" s="572"/>
      <c r="B47" s="559"/>
      <c r="C47" s="140" t="s">
        <v>1129</v>
      </c>
      <c r="D47" s="78">
        <v>7.6</v>
      </c>
      <c r="E47" s="545"/>
      <c r="F47" s="554"/>
      <c r="G47" s="63" t="s">
        <v>1130</v>
      </c>
      <c r="H47" s="585"/>
      <c r="I47" s="591"/>
      <c r="J47" s="591"/>
      <c r="K47" s="591"/>
      <c r="L47" s="587"/>
      <c r="M47" s="587"/>
      <c r="N47" s="717"/>
      <c r="O47" s="617"/>
      <c r="P47" s="581"/>
      <c r="Q47" s="573"/>
      <c r="R47" s="545"/>
      <c r="S47" s="544"/>
    </row>
    <row r="48" spans="1:19" s="105" customFormat="1" x14ac:dyDescent="0.2">
      <c r="A48" s="573"/>
      <c r="B48" s="131"/>
      <c r="C48" s="140"/>
      <c r="D48" s="83">
        <f>SUM(D46:D47)</f>
        <v>21.6</v>
      </c>
      <c r="E48" s="151"/>
      <c r="F48" s="24"/>
      <c r="G48" s="63"/>
      <c r="H48" s="163"/>
      <c r="I48" s="81"/>
      <c r="J48" s="81"/>
      <c r="K48" s="82"/>
      <c r="L48" s="156"/>
      <c r="M48" s="153"/>
      <c r="N48" s="260"/>
      <c r="O48" s="140"/>
      <c r="P48" s="140"/>
      <c r="Q48" s="80"/>
      <c r="R48" s="151"/>
      <c r="S48" s="153"/>
    </row>
    <row r="49" spans="1:19" x14ac:dyDescent="0.2">
      <c r="A49" s="572">
        <v>11</v>
      </c>
      <c r="B49" s="558" t="s">
        <v>1133</v>
      </c>
      <c r="C49" s="140" t="s">
        <v>1134</v>
      </c>
      <c r="D49" s="78">
        <v>13.3</v>
      </c>
      <c r="E49" s="543" t="s">
        <v>533</v>
      </c>
      <c r="F49" s="552" t="s">
        <v>246</v>
      </c>
      <c r="G49" s="63" t="s">
        <v>1923</v>
      </c>
      <c r="H49" s="609" t="s">
        <v>504</v>
      </c>
      <c r="I49" s="589">
        <v>41264</v>
      </c>
      <c r="J49" s="589">
        <v>41333</v>
      </c>
      <c r="K49" s="577">
        <v>41453</v>
      </c>
      <c r="L49" s="588">
        <v>49916.6</v>
      </c>
      <c r="M49" s="588">
        <v>44150.080000000002</v>
      </c>
      <c r="N49" s="716">
        <v>100</v>
      </c>
      <c r="O49" s="615" t="s">
        <v>1899</v>
      </c>
      <c r="P49" s="580"/>
      <c r="Q49" s="571" t="s">
        <v>505</v>
      </c>
      <c r="R49" s="543" t="s">
        <v>271</v>
      </c>
      <c r="S49" s="543"/>
    </row>
    <row r="50" spans="1:19" x14ac:dyDescent="0.2">
      <c r="A50" s="572"/>
      <c r="B50" s="613"/>
      <c r="C50" s="140" t="s">
        <v>501</v>
      </c>
      <c r="D50" s="78">
        <v>3.3</v>
      </c>
      <c r="E50" s="544"/>
      <c r="F50" s="553"/>
      <c r="G50" s="63" t="s">
        <v>1135</v>
      </c>
      <c r="H50" s="584"/>
      <c r="I50" s="590"/>
      <c r="J50" s="590"/>
      <c r="K50" s="578"/>
      <c r="L50" s="586"/>
      <c r="M50" s="586"/>
      <c r="N50" s="717"/>
      <c r="O50" s="616"/>
      <c r="P50" s="581"/>
      <c r="Q50" s="572"/>
      <c r="R50" s="544"/>
      <c r="S50" s="544"/>
    </row>
    <row r="51" spans="1:19" x14ac:dyDescent="0.2">
      <c r="A51" s="572"/>
      <c r="B51" s="613"/>
      <c r="C51" s="140" t="s">
        <v>502</v>
      </c>
      <c r="D51" s="78">
        <v>3.3</v>
      </c>
      <c r="E51" s="544"/>
      <c r="F51" s="553"/>
      <c r="G51" s="63" t="s">
        <v>499</v>
      </c>
      <c r="H51" s="584"/>
      <c r="I51" s="590"/>
      <c r="J51" s="590"/>
      <c r="K51" s="578"/>
      <c r="L51" s="586"/>
      <c r="M51" s="586"/>
      <c r="N51" s="717"/>
      <c r="O51" s="616"/>
      <c r="P51" s="581"/>
      <c r="Q51" s="572"/>
      <c r="R51" s="544"/>
      <c r="S51" s="544"/>
    </row>
    <row r="52" spans="1:19" x14ac:dyDescent="0.2">
      <c r="A52" s="572"/>
      <c r="B52" s="559"/>
      <c r="C52" s="140" t="s">
        <v>503</v>
      </c>
      <c r="D52" s="78">
        <v>1.6</v>
      </c>
      <c r="E52" s="545"/>
      <c r="F52" s="554"/>
      <c r="G52" s="63" t="s">
        <v>500</v>
      </c>
      <c r="H52" s="585"/>
      <c r="I52" s="591"/>
      <c r="J52" s="590"/>
      <c r="K52" s="578"/>
      <c r="L52" s="587"/>
      <c r="M52" s="587"/>
      <c r="N52" s="717"/>
      <c r="O52" s="617"/>
      <c r="P52" s="581"/>
      <c r="Q52" s="573"/>
      <c r="R52" s="545"/>
      <c r="S52" s="544"/>
    </row>
    <row r="53" spans="1:19" s="105" customFormat="1" x14ac:dyDescent="0.2">
      <c r="A53" s="573"/>
      <c r="B53" s="131"/>
      <c r="C53" s="140"/>
      <c r="D53" s="83">
        <f>SUM(D49:D52)</f>
        <v>21.500000000000004</v>
      </c>
      <c r="E53" s="151"/>
      <c r="F53" s="24"/>
      <c r="G53" s="63"/>
      <c r="H53" s="163"/>
      <c r="I53" s="81"/>
      <c r="J53" s="81"/>
      <c r="K53" s="82"/>
      <c r="L53" s="156"/>
      <c r="M53" s="153"/>
      <c r="N53" s="260"/>
      <c r="O53" s="140"/>
      <c r="P53" s="140"/>
      <c r="Q53" s="80"/>
      <c r="R53" s="151"/>
      <c r="S53" s="153"/>
    </row>
    <row r="54" spans="1:19" s="105" customFormat="1" ht="45" x14ac:dyDescent="0.2">
      <c r="A54" s="659">
        <v>12</v>
      </c>
      <c r="B54" s="20" t="s">
        <v>507</v>
      </c>
      <c r="C54" s="20" t="s">
        <v>506</v>
      </c>
      <c r="D54" s="96">
        <v>14</v>
      </c>
      <c r="E54" s="152" t="s">
        <v>533</v>
      </c>
      <c r="F54" s="24" t="s">
        <v>246</v>
      </c>
      <c r="G54" s="64" t="s">
        <v>1436</v>
      </c>
      <c r="H54" s="160" t="s">
        <v>508</v>
      </c>
      <c r="I54" s="104">
        <v>41264</v>
      </c>
      <c r="J54" s="104">
        <v>41309</v>
      </c>
      <c r="K54" s="104">
        <v>41429</v>
      </c>
      <c r="L54" s="167">
        <v>34684</v>
      </c>
      <c r="M54" s="167">
        <v>31238</v>
      </c>
      <c r="N54" s="261">
        <v>100</v>
      </c>
      <c r="O54" s="119" t="s">
        <v>895</v>
      </c>
      <c r="P54" s="107"/>
      <c r="Q54" s="80" t="s">
        <v>509</v>
      </c>
      <c r="R54" s="152" t="s">
        <v>271</v>
      </c>
      <c r="S54" s="152"/>
    </row>
    <row r="55" spans="1:19" ht="12.75" customHeight="1" x14ac:dyDescent="0.2">
      <c r="A55" s="564"/>
      <c r="B55" s="131"/>
      <c r="C55" s="139"/>
      <c r="D55" s="95">
        <f>SUM(D54:D54)</f>
        <v>14</v>
      </c>
      <c r="E55" s="151"/>
      <c r="F55" s="36"/>
      <c r="G55" s="75"/>
      <c r="H55" s="163"/>
      <c r="I55" s="104"/>
      <c r="J55" s="76"/>
      <c r="K55" s="77"/>
      <c r="L55" s="156"/>
      <c r="M55" s="149"/>
      <c r="N55" s="262"/>
      <c r="O55" s="139"/>
      <c r="P55" s="139"/>
      <c r="Q55" s="67"/>
      <c r="R55" s="151"/>
      <c r="S55" s="149"/>
    </row>
    <row r="56" spans="1:19" s="365" customFormat="1" ht="45" x14ac:dyDescent="0.2">
      <c r="A56" s="659">
        <v>13</v>
      </c>
      <c r="B56" s="336" t="s">
        <v>1348</v>
      </c>
      <c r="C56" s="336" t="s">
        <v>506</v>
      </c>
      <c r="D56" s="360">
        <v>14</v>
      </c>
      <c r="E56" s="359" t="s">
        <v>533</v>
      </c>
      <c r="F56" s="313" t="s">
        <v>246</v>
      </c>
      <c r="G56" s="423" t="s">
        <v>1436</v>
      </c>
      <c r="H56" s="341" t="s">
        <v>1349</v>
      </c>
      <c r="I56" s="362">
        <v>41264</v>
      </c>
      <c r="J56" s="362"/>
      <c r="K56" s="421"/>
      <c r="L56" s="363">
        <v>35068</v>
      </c>
      <c r="M56" s="363">
        <v>32200.55</v>
      </c>
      <c r="N56" s="359">
        <v>100</v>
      </c>
      <c r="O56" s="320" t="s">
        <v>895</v>
      </c>
      <c r="P56" s="352"/>
      <c r="Q56" s="364" t="s">
        <v>1350</v>
      </c>
      <c r="R56" s="359" t="s">
        <v>271</v>
      </c>
      <c r="S56" s="359"/>
    </row>
    <row r="57" spans="1:19" ht="12.75" customHeight="1" x14ac:dyDescent="0.2">
      <c r="A57" s="564"/>
      <c r="B57" s="131"/>
      <c r="C57" s="139"/>
      <c r="D57" s="95">
        <f>SUM(D56:D56)</f>
        <v>14</v>
      </c>
      <c r="E57" s="151"/>
      <c r="F57" s="36"/>
      <c r="G57" s="75"/>
      <c r="H57" s="163"/>
      <c r="I57" s="104"/>
      <c r="J57" s="76"/>
      <c r="K57" s="77"/>
      <c r="L57" s="156"/>
      <c r="M57" s="149"/>
      <c r="N57" s="262"/>
      <c r="O57" s="139"/>
      <c r="P57" s="139"/>
      <c r="Q57" s="67"/>
      <c r="R57" s="151"/>
      <c r="S57" s="149"/>
    </row>
    <row r="58" spans="1:19" s="349" customFormat="1" x14ac:dyDescent="0.2">
      <c r="A58" s="572">
        <v>14</v>
      </c>
      <c r="B58" s="754" t="s">
        <v>510</v>
      </c>
      <c r="C58" s="379" t="s">
        <v>511</v>
      </c>
      <c r="D58" s="354">
        <v>9</v>
      </c>
      <c r="E58" s="721" t="s">
        <v>947</v>
      </c>
      <c r="F58" s="733" t="s">
        <v>246</v>
      </c>
      <c r="G58" s="309" t="s">
        <v>917</v>
      </c>
      <c r="H58" s="736" t="s">
        <v>1145</v>
      </c>
      <c r="I58" s="739">
        <v>41264</v>
      </c>
      <c r="J58" s="739"/>
      <c r="K58" s="739"/>
      <c r="L58" s="750">
        <v>39189</v>
      </c>
      <c r="M58" s="750">
        <v>25051.81</v>
      </c>
      <c r="N58" s="721">
        <v>100</v>
      </c>
      <c r="O58" s="742" t="s">
        <v>2320</v>
      </c>
      <c r="P58" s="742"/>
      <c r="Q58" s="745" t="s">
        <v>1146</v>
      </c>
      <c r="R58" s="721" t="s">
        <v>271</v>
      </c>
      <c r="S58" s="721"/>
    </row>
    <row r="59" spans="1:19" s="349" customFormat="1" x14ac:dyDescent="0.2">
      <c r="A59" s="572"/>
      <c r="B59" s="754"/>
      <c r="C59" s="379" t="s">
        <v>1141</v>
      </c>
      <c r="D59" s="308">
        <v>2.4</v>
      </c>
      <c r="E59" s="722"/>
      <c r="F59" s="734"/>
      <c r="G59" s="309" t="s">
        <v>1143</v>
      </c>
      <c r="H59" s="737"/>
      <c r="I59" s="740"/>
      <c r="J59" s="740"/>
      <c r="K59" s="740"/>
      <c r="L59" s="751"/>
      <c r="M59" s="751"/>
      <c r="N59" s="722"/>
      <c r="O59" s="743"/>
      <c r="P59" s="743"/>
      <c r="Q59" s="746"/>
      <c r="R59" s="722"/>
      <c r="S59" s="722"/>
    </row>
    <row r="60" spans="1:19" s="349" customFormat="1" x14ac:dyDescent="0.2">
      <c r="A60" s="572"/>
      <c r="B60" s="762"/>
      <c r="C60" s="307" t="s">
        <v>1142</v>
      </c>
      <c r="D60" s="308">
        <v>4</v>
      </c>
      <c r="E60" s="732"/>
      <c r="F60" s="735"/>
      <c r="G60" s="309" t="s">
        <v>1144</v>
      </c>
      <c r="H60" s="737" t="s">
        <v>855</v>
      </c>
      <c r="I60" s="740"/>
      <c r="J60" s="740"/>
      <c r="K60" s="740"/>
      <c r="L60" s="755"/>
      <c r="M60" s="755"/>
      <c r="N60" s="722"/>
      <c r="O60" s="743"/>
      <c r="P60" s="743"/>
      <c r="Q60" s="746"/>
      <c r="R60" s="732" t="s">
        <v>150</v>
      </c>
      <c r="S60" s="722"/>
    </row>
    <row r="61" spans="1:19" x14ac:dyDescent="0.2">
      <c r="A61" s="573"/>
      <c r="B61" s="20"/>
      <c r="C61" s="140"/>
      <c r="D61" s="83">
        <f>SUM(D58:D60)</f>
        <v>15.4</v>
      </c>
      <c r="E61" s="152"/>
      <c r="F61" s="24"/>
      <c r="G61" s="63"/>
      <c r="H61" s="160"/>
      <c r="I61" s="81"/>
      <c r="J61" s="81"/>
      <c r="K61" s="82"/>
      <c r="L61" s="165"/>
      <c r="M61" s="153"/>
      <c r="N61" s="260"/>
      <c r="O61" s="140"/>
      <c r="P61" s="140"/>
      <c r="Q61" s="80"/>
      <c r="R61" s="152"/>
      <c r="S61" s="153"/>
    </row>
    <row r="62" spans="1:19" x14ac:dyDescent="0.2">
      <c r="A62" s="572">
        <v>15</v>
      </c>
      <c r="B62" s="613" t="s">
        <v>1147</v>
      </c>
      <c r="C62" s="139" t="s">
        <v>1148</v>
      </c>
      <c r="D62" s="90">
        <v>10</v>
      </c>
      <c r="E62" s="543" t="s">
        <v>947</v>
      </c>
      <c r="F62" s="552" t="s">
        <v>246</v>
      </c>
      <c r="G62" s="63" t="s">
        <v>1430</v>
      </c>
      <c r="H62" s="592" t="s">
        <v>1152</v>
      </c>
      <c r="I62" s="589">
        <v>41264</v>
      </c>
      <c r="J62" s="589">
        <v>41394</v>
      </c>
      <c r="K62" s="577">
        <v>41516</v>
      </c>
      <c r="L62" s="588">
        <v>47051</v>
      </c>
      <c r="M62" s="588">
        <v>34427.18</v>
      </c>
      <c r="N62" s="721">
        <v>100</v>
      </c>
      <c r="O62" s="615" t="s">
        <v>1522</v>
      </c>
      <c r="P62" s="580"/>
      <c r="Q62" s="571" t="s">
        <v>1153</v>
      </c>
      <c r="R62" s="543" t="s">
        <v>271</v>
      </c>
      <c r="S62" s="543">
        <v>1</v>
      </c>
    </row>
    <row r="63" spans="1:19" x14ac:dyDescent="0.2">
      <c r="A63" s="572"/>
      <c r="B63" s="613"/>
      <c r="C63" s="139" t="s">
        <v>1149</v>
      </c>
      <c r="D63" s="78">
        <v>4.5</v>
      </c>
      <c r="E63" s="544"/>
      <c r="F63" s="553"/>
      <c r="G63" s="63" t="s">
        <v>1150</v>
      </c>
      <c r="H63" s="593"/>
      <c r="I63" s="590"/>
      <c r="J63" s="590"/>
      <c r="K63" s="578"/>
      <c r="L63" s="586"/>
      <c r="M63" s="586"/>
      <c r="N63" s="722"/>
      <c r="O63" s="616"/>
      <c r="P63" s="581"/>
      <c r="Q63" s="572"/>
      <c r="R63" s="544"/>
      <c r="S63" s="544"/>
    </row>
    <row r="64" spans="1:19" x14ac:dyDescent="0.2">
      <c r="A64" s="572"/>
      <c r="B64" s="559"/>
      <c r="C64" s="140" t="s">
        <v>1151</v>
      </c>
      <c r="D64" s="78">
        <v>4</v>
      </c>
      <c r="E64" s="545"/>
      <c r="F64" s="554"/>
      <c r="G64" s="63" t="s">
        <v>1434</v>
      </c>
      <c r="H64" s="593" t="s">
        <v>855</v>
      </c>
      <c r="I64" s="590"/>
      <c r="J64" s="590"/>
      <c r="K64" s="578"/>
      <c r="L64" s="587"/>
      <c r="M64" s="587"/>
      <c r="N64" s="722"/>
      <c r="O64" s="616"/>
      <c r="P64" s="581"/>
      <c r="Q64" s="572"/>
      <c r="R64" s="545" t="s">
        <v>150</v>
      </c>
      <c r="S64" s="544"/>
    </row>
    <row r="65" spans="1:19" x14ac:dyDescent="0.2">
      <c r="A65" s="573"/>
      <c r="B65" s="20"/>
      <c r="C65" s="140"/>
      <c r="D65" s="83">
        <f>SUM(D62:D64)</f>
        <v>18.5</v>
      </c>
      <c r="E65" s="152"/>
      <c r="F65" s="24"/>
      <c r="G65" s="63"/>
      <c r="H65" s="160"/>
      <c r="I65" s="81"/>
      <c r="J65" s="81"/>
      <c r="K65" s="82"/>
      <c r="L65" s="165"/>
      <c r="M65" s="153"/>
      <c r="N65" s="260"/>
      <c r="O65" s="140"/>
      <c r="P65" s="140"/>
      <c r="Q65" s="80"/>
      <c r="R65" s="152"/>
      <c r="S65" s="153"/>
    </row>
    <row r="66" spans="1:19" s="365" customFormat="1" ht="45" x14ac:dyDescent="0.2">
      <c r="A66" s="659">
        <v>16</v>
      </c>
      <c r="B66" s="336" t="s">
        <v>1211</v>
      </c>
      <c r="C66" s="336" t="s">
        <v>1211</v>
      </c>
      <c r="D66" s="360">
        <v>11</v>
      </c>
      <c r="E66" s="359" t="s">
        <v>947</v>
      </c>
      <c r="F66" s="313" t="s">
        <v>246</v>
      </c>
      <c r="G66" s="361" t="s">
        <v>2185</v>
      </c>
      <c r="H66" s="341" t="s">
        <v>275</v>
      </c>
      <c r="I66" s="362">
        <v>41264</v>
      </c>
      <c r="J66" s="362"/>
      <c r="K66" s="421"/>
      <c r="L66" s="363">
        <v>28480</v>
      </c>
      <c r="M66" s="363">
        <v>19964.96</v>
      </c>
      <c r="N66" s="359">
        <v>100</v>
      </c>
      <c r="O66" s="505" t="s">
        <v>104</v>
      </c>
      <c r="P66" s="352"/>
      <c r="Q66" s="364" t="s">
        <v>1212</v>
      </c>
      <c r="R66" s="359" t="s">
        <v>271</v>
      </c>
      <c r="S66" s="359"/>
    </row>
    <row r="67" spans="1:19" ht="12.75" customHeight="1" x14ac:dyDescent="0.2">
      <c r="A67" s="564"/>
      <c r="B67" s="131"/>
      <c r="C67" s="139"/>
      <c r="D67" s="95">
        <f>SUM(D66:D66)</f>
        <v>11</v>
      </c>
      <c r="E67" s="151"/>
      <c r="F67" s="36"/>
      <c r="G67" s="75"/>
      <c r="H67" s="163"/>
      <c r="I67" s="104"/>
      <c r="J67" s="76"/>
      <c r="K67" s="77"/>
      <c r="L67" s="156"/>
      <c r="M67" s="149"/>
      <c r="N67" s="262"/>
      <c r="O67" s="139"/>
      <c r="P67" s="139"/>
      <c r="Q67" s="67"/>
      <c r="R67" s="151"/>
      <c r="S67" s="149"/>
    </row>
    <row r="68" spans="1:19" ht="21" customHeight="1" x14ac:dyDescent="0.2">
      <c r="A68" s="571">
        <v>17</v>
      </c>
      <c r="B68" s="558" t="s">
        <v>123</v>
      </c>
      <c r="C68" s="140" t="s">
        <v>124</v>
      </c>
      <c r="D68" s="78">
        <v>11</v>
      </c>
      <c r="E68" s="543" t="s">
        <v>947</v>
      </c>
      <c r="F68" s="552" t="s">
        <v>246</v>
      </c>
      <c r="G68" s="63" t="s">
        <v>2090</v>
      </c>
      <c r="H68" s="609" t="s">
        <v>127</v>
      </c>
      <c r="I68" s="589">
        <v>41264</v>
      </c>
      <c r="J68" s="589">
        <v>41337</v>
      </c>
      <c r="K68" s="589">
        <v>41459</v>
      </c>
      <c r="L68" s="588">
        <v>34273</v>
      </c>
      <c r="M68" s="588">
        <v>34272.589999999997</v>
      </c>
      <c r="N68" s="716">
        <v>100</v>
      </c>
      <c r="O68" s="615" t="s">
        <v>1317</v>
      </c>
      <c r="P68" s="580"/>
      <c r="Q68" s="571" t="s">
        <v>128</v>
      </c>
      <c r="R68" s="543" t="s">
        <v>271</v>
      </c>
      <c r="S68" s="543"/>
    </row>
    <row r="69" spans="1:19" ht="22.5" customHeight="1" x14ac:dyDescent="0.2">
      <c r="A69" s="572"/>
      <c r="B69" s="559"/>
      <c r="C69" s="140" t="s">
        <v>125</v>
      </c>
      <c r="D69" s="78">
        <v>2.25</v>
      </c>
      <c r="E69" s="545"/>
      <c r="F69" s="554"/>
      <c r="G69" s="64" t="s">
        <v>126</v>
      </c>
      <c r="H69" s="585"/>
      <c r="I69" s="591"/>
      <c r="J69" s="591"/>
      <c r="K69" s="591"/>
      <c r="L69" s="587"/>
      <c r="M69" s="587"/>
      <c r="N69" s="717"/>
      <c r="O69" s="617"/>
      <c r="P69" s="581"/>
      <c r="Q69" s="573"/>
      <c r="R69" s="545" t="s">
        <v>150</v>
      </c>
      <c r="S69" s="544"/>
    </row>
    <row r="70" spans="1:19" s="105" customFormat="1" x14ac:dyDescent="0.2">
      <c r="A70" s="573"/>
      <c r="B70" s="131"/>
      <c r="C70" s="140"/>
      <c r="D70" s="83">
        <f>SUM(D68:D69)</f>
        <v>13.25</v>
      </c>
      <c r="E70" s="151"/>
      <c r="F70" s="24"/>
      <c r="G70" s="63"/>
      <c r="H70" s="163"/>
      <c r="I70" s="81"/>
      <c r="J70" s="81"/>
      <c r="K70" s="82"/>
      <c r="L70" s="156"/>
      <c r="M70" s="153"/>
      <c r="N70" s="260"/>
      <c r="O70" s="140"/>
      <c r="P70" s="140"/>
      <c r="Q70" s="80"/>
      <c r="R70" s="151"/>
      <c r="S70" s="153"/>
    </row>
    <row r="71" spans="1:19" s="365" customFormat="1" ht="45" x14ac:dyDescent="0.2">
      <c r="A71" s="571">
        <v>18</v>
      </c>
      <c r="B71" s="336" t="s">
        <v>1351</v>
      </c>
      <c r="C71" s="453" t="s">
        <v>1351</v>
      </c>
      <c r="D71" s="454">
        <v>0.73</v>
      </c>
      <c r="E71" s="359" t="s">
        <v>1222</v>
      </c>
      <c r="F71" s="313" t="s">
        <v>1450</v>
      </c>
      <c r="G71" s="366" t="s">
        <v>1912</v>
      </c>
      <c r="H71" s="342" t="s">
        <v>1352</v>
      </c>
      <c r="I71" s="362">
        <v>41264</v>
      </c>
      <c r="J71" s="362">
        <v>41390</v>
      </c>
      <c r="K71" s="362">
        <v>41573</v>
      </c>
      <c r="L71" s="363">
        <v>49800</v>
      </c>
      <c r="M71" s="363"/>
      <c r="N71" s="359">
        <v>90</v>
      </c>
      <c r="O71" s="455" t="s">
        <v>2087</v>
      </c>
      <c r="P71" s="455"/>
      <c r="Q71" s="364" t="s">
        <v>1353</v>
      </c>
      <c r="R71" s="359" t="s">
        <v>271</v>
      </c>
      <c r="S71" s="359"/>
    </row>
    <row r="72" spans="1:19" x14ac:dyDescent="0.2">
      <c r="A72" s="573"/>
      <c r="B72" s="174"/>
      <c r="C72" s="139"/>
      <c r="D72" s="95">
        <f>SUM(D71)</f>
        <v>0.73</v>
      </c>
      <c r="E72" s="16"/>
      <c r="F72" s="36"/>
      <c r="G72" s="75"/>
      <c r="H72" s="161"/>
      <c r="I72" s="76"/>
      <c r="J72" s="76"/>
      <c r="K72" s="77"/>
      <c r="L72" s="165"/>
      <c r="M72" s="149"/>
      <c r="N72" s="262"/>
      <c r="O72" s="139"/>
      <c r="P72" s="139"/>
      <c r="Q72" s="67"/>
      <c r="R72" s="16"/>
      <c r="S72" s="149"/>
    </row>
    <row r="73" spans="1:19" s="105" customFormat="1" ht="45" x14ac:dyDescent="0.2">
      <c r="A73" s="571">
        <v>19</v>
      </c>
      <c r="B73" s="20" t="s">
        <v>1354</v>
      </c>
      <c r="C73" s="178" t="s">
        <v>1354</v>
      </c>
      <c r="D73" s="84">
        <v>0.81</v>
      </c>
      <c r="E73" s="152" t="s">
        <v>1222</v>
      </c>
      <c r="F73" s="24" t="s">
        <v>1450</v>
      </c>
      <c r="G73" s="79" t="s">
        <v>1912</v>
      </c>
      <c r="H73" s="237" t="s">
        <v>1352</v>
      </c>
      <c r="I73" s="104">
        <v>41264</v>
      </c>
      <c r="J73" s="104">
        <v>41390</v>
      </c>
      <c r="K73" s="104">
        <v>41573</v>
      </c>
      <c r="L73" s="167">
        <v>49800</v>
      </c>
      <c r="M73" s="167"/>
      <c r="N73" s="359">
        <v>100</v>
      </c>
      <c r="O73" s="239" t="s">
        <v>2087</v>
      </c>
      <c r="P73" s="239"/>
      <c r="Q73" s="80" t="s">
        <v>1355</v>
      </c>
      <c r="R73" s="152" t="s">
        <v>271</v>
      </c>
      <c r="S73" s="152"/>
    </row>
    <row r="74" spans="1:19" x14ac:dyDescent="0.2">
      <c r="A74" s="573"/>
      <c r="B74" s="174"/>
      <c r="C74" s="139"/>
      <c r="D74" s="95">
        <f>SUM(D73)</f>
        <v>0.81</v>
      </c>
      <c r="E74" s="16"/>
      <c r="F74" s="36"/>
      <c r="G74" s="75"/>
      <c r="H74" s="161"/>
      <c r="I74" s="76"/>
      <c r="J74" s="76"/>
      <c r="K74" s="77"/>
      <c r="L74" s="165"/>
      <c r="M74" s="149"/>
      <c r="N74" s="262"/>
      <c r="O74" s="139"/>
      <c r="P74" s="139"/>
      <c r="Q74" s="67"/>
      <c r="R74" s="16"/>
      <c r="S74" s="149"/>
    </row>
    <row r="75" spans="1:19" s="365" customFormat="1" ht="45" x14ac:dyDescent="0.2">
      <c r="A75" s="571">
        <v>20</v>
      </c>
      <c r="B75" s="336" t="s">
        <v>1356</v>
      </c>
      <c r="C75" s="453" t="s">
        <v>1356</v>
      </c>
      <c r="D75" s="454">
        <v>1.25</v>
      </c>
      <c r="E75" s="359" t="s">
        <v>1222</v>
      </c>
      <c r="F75" s="313" t="s">
        <v>1450</v>
      </c>
      <c r="G75" s="366" t="s">
        <v>1912</v>
      </c>
      <c r="H75" s="342" t="s">
        <v>1900</v>
      </c>
      <c r="I75" s="362">
        <v>41264</v>
      </c>
      <c r="J75" s="362">
        <v>41390</v>
      </c>
      <c r="K75" s="362">
        <v>41573</v>
      </c>
      <c r="L75" s="363">
        <v>49320</v>
      </c>
      <c r="M75" s="363"/>
      <c r="N75" s="359">
        <v>90</v>
      </c>
      <c r="O75" s="455" t="s">
        <v>2087</v>
      </c>
      <c r="P75" s="455"/>
      <c r="Q75" s="364" t="s">
        <v>1357</v>
      </c>
      <c r="R75" s="359" t="s">
        <v>271</v>
      </c>
      <c r="S75" s="359"/>
    </row>
    <row r="76" spans="1:19" x14ac:dyDescent="0.2">
      <c r="A76" s="573"/>
      <c r="B76" s="174"/>
      <c r="C76" s="139"/>
      <c r="D76" s="95">
        <f>SUM(D75)</f>
        <v>1.25</v>
      </c>
      <c r="E76" s="16"/>
      <c r="F76" s="36"/>
      <c r="G76" s="75"/>
      <c r="H76" s="161"/>
      <c r="I76" s="76"/>
      <c r="J76" s="76"/>
      <c r="K76" s="77"/>
      <c r="L76" s="165"/>
      <c r="M76" s="149"/>
      <c r="N76" s="262"/>
      <c r="O76" s="139"/>
      <c r="P76" s="139"/>
      <c r="Q76" s="67"/>
      <c r="R76" s="16"/>
      <c r="S76" s="149"/>
    </row>
    <row r="77" spans="1:19" s="365" customFormat="1" ht="45" x14ac:dyDescent="0.2">
      <c r="A77" s="571">
        <v>21</v>
      </c>
      <c r="B77" s="336" t="s">
        <v>1358</v>
      </c>
      <c r="C77" s="453" t="s">
        <v>1358</v>
      </c>
      <c r="D77" s="454">
        <v>0.6</v>
      </c>
      <c r="E77" s="359" t="s">
        <v>1222</v>
      </c>
      <c r="F77" s="313" t="s">
        <v>1450</v>
      </c>
      <c r="G77" s="366" t="s">
        <v>1912</v>
      </c>
      <c r="H77" s="342" t="s">
        <v>1900</v>
      </c>
      <c r="I77" s="362">
        <v>41264</v>
      </c>
      <c r="J77" s="362">
        <v>41390</v>
      </c>
      <c r="K77" s="362">
        <v>41573</v>
      </c>
      <c r="L77" s="363">
        <v>49320</v>
      </c>
      <c r="M77" s="363"/>
      <c r="N77" s="359">
        <v>90</v>
      </c>
      <c r="O77" s="455" t="s">
        <v>2087</v>
      </c>
      <c r="P77" s="455"/>
      <c r="Q77" s="364" t="s">
        <v>1357</v>
      </c>
      <c r="R77" s="359" t="s">
        <v>271</v>
      </c>
      <c r="S77" s="359"/>
    </row>
    <row r="78" spans="1:19" x14ac:dyDescent="0.2">
      <c r="A78" s="573"/>
      <c r="B78" s="174"/>
      <c r="C78" s="139"/>
      <c r="D78" s="95">
        <f>SUM(D77)</f>
        <v>0.6</v>
      </c>
      <c r="E78" s="16"/>
      <c r="F78" s="36"/>
      <c r="G78" s="75"/>
      <c r="H78" s="161"/>
      <c r="I78" s="76"/>
      <c r="J78" s="76"/>
      <c r="K78" s="77"/>
      <c r="L78" s="165"/>
      <c r="M78" s="149"/>
      <c r="N78" s="262"/>
      <c r="O78" s="139"/>
      <c r="P78" s="139"/>
      <c r="Q78" s="67"/>
      <c r="R78" s="16"/>
      <c r="S78" s="149"/>
    </row>
    <row r="79" spans="1:19" s="365" customFormat="1" ht="45" x14ac:dyDescent="0.2">
      <c r="A79" s="571">
        <v>22</v>
      </c>
      <c r="B79" s="336" t="s">
        <v>1221</v>
      </c>
      <c r="C79" s="453" t="s">
        <v>1221</v>
      </c>
      <c r="D79" s="454">
        <v>0.6</v>
      </c>
      <c r="E79" s="359" t="s">
        <v>1222</v>
      </c>
      <c r="F79" s="313" t="s">
        <v>1450</v>
      </c>
      <c r="G79" s="366" t="s">
        <v>1912</v>
      </c>
      <c r="H79" s="342" t="s">
        <v>1223</v>
      </c>
      <c r="I79" s="362">
        <v>41264</v>
      </c>
      <c r="J79" s="362">
        <v>41390</v>
      </c>
      <c r="K79" s="362">
        <v>41573</v>
      </c>
      <c r="L79" s="363">
        <v>49320</v>
      </c>
      <c r="M79" s="363"/>
      <c r="N79" s="359">
        <v>100</v>
      </c>
      <c r="O79" s="455" t="s">
        <v>2087</v>
      </c>
      <c r="P79" s="455"/>
      <c r="Q79" s="364" t="s">
        <v>1224</v>
      </c>
      <c r="R79" s="359" t="s">
        <v>271</v>
      </c>
      <c r="S79" s="359"/>
    </row>
    <row r="80" spans="1:19" x14ac:dyDescent="0.2">
      <c r="A80" s="573"/>
      <c r="B80" s="174"/>
      <c r="C80" s="139"/>
      <c r="D80" s="95">
        <f>SUM(D79)</f>
        <v>0.6</v>
      </c>
      <c r="E80" s="16"/>
      <c r="F80" s="36"/>
      <c r="G80" s="75"/>
      <c r="H80" s="161"/>
      <c r="I80" s="76"/>
      <c r="J80" s="76"/>
      <c r="K80" s="77"/>
      <c r="L80" s="165"/>
      <c r="M80" s="149"/>
      <c r="N80" s="262"/>
      <c r="O80" s="139"/>
      <c r="P80" s="139"/>
      <c r="Q80" s="67"/>
      <c r="R80" s="16"/>
      <c r="S80" s="149"/>
    </row>
    <row r="81" spans="1:19" s="349" customFormat="1" x14ac:dyDescent="0.2">
      <c r="A81" s="745">
        <v>23</v>
      </c>
      <c r="B81" s="753" t="s">
        <v>129</v>
      </c>
      <c r="C81" s="307" t="s">
        <v>1172</v>
      </c>
      <c r="D81" s="308">
        <v>3.87</v>
      </c>
      <c r="E81" s="721" t="s">
        <v>1840</v>
      </c>
      <c r="F81" s="733" t="s">
        <v>246</v>
      </c>
      <c r="G81" s="309" t="s">
        <v>1173</v>
      </c>
      <c r="H81" s="736" t="s">
        <v>896</v>
      </c>
      <c r="I81" s="739">
        <v>41264</v>
      </c>
      <c r="J81" s="739"/>
      <c r="K81" s="769">
        <v>41504</v>
      </c>
      <c r="L81" s="750">
        <v>28412</v>
      </c>
      <c r="M81" s="750">
        <v>24060.76</v>
      </c>
      <c r="N81" s="721">
        <v>100</v>
      </c>
      <c r="O81" s="742" t="s">
        <v>2288</v>
      </c>
      <c r="P81" s="742"/>
      <c r="Q81" s="745" t="s">
        <v>1829</v>
      </c>
      <c r="R81" s="721" t="s">
        <v>271</v>
      </c>
      <c r="S81" s="721"/>
    </row>
    <row r="82" spans="1:19" s="349" customFormat="1" x14ac:dyDescent="0.2">
      <c r="A82" s="746"/>
      <c r="B82" s="754"/>
      <c r="C82" s="307" t="s">
        <v>1826</v>
      </c>
      <c r="D82" s="308">
        <v>2.2000000000000002</v>
      </c>
      <c r="E82" s="722"/>
      <c r="F82" s="734"/>
      <c r="G82" s="309" t="s">
        <v>1174</v>
      </c>
      <c r="H82" s="737"/>
      <c r="I82" s="740"/>
      <c r="J82" s="740"/>
      <c r="K82" s="770"/>
      <c r="L82" s="751"/>
      <c r="M82" s="751"/>
      <c r="N82" s="722"/>
      <c r="O82" s="743"/>
      <c r="P82" s="743"/>
      <c r="Q82" s="746"/>
      <c r="R82" s="722"/>
      <c r="S82" s="722"/>
    </row>
    <row r="83" spans="1:19" s="349" customFormat="1" x14ac:dyDescent="0.2">
      <c r="A83" s="746"/>
      <c r="B83" s="754"/>
      <c r="C83" s="307" t="s">
        <v>1827</v>
      </c>
      <c r="D83" s="308">
        <v>1.6</v>
      </c>
      <c r="E83" s="722"/>
      <c r="F83" s="734"/>
      <c r="G83" s="309" t="s">
        <v>453</v>
      </c>
      <c r="H83" s="737"/>
      <c r="I83" s="740"/>
      <c r="J83" s="740"/>
      <c r="K83" s="770"/>
      <c r="L83" s="751"/>
      <c r="M83" s="751"/>
      <c r="N83" s="722"/>
      <c r="O83" s="743"/>
      <c r="P83" s="743"/>
      <c r="Q83" s="746"/>
      <c r="R83" s="722"/>
      <c r="S83" s="722"/>
    </row>
    <row r="84" spans="1:19" s="349" customFormat="1" x14ac:dyDescent="0.2">
      <c r="A84" s="746"/>
      <c r="B84" s="762"/>
      <c r="C84" s="307" t="s">
        <v>1828</v>
      </c>
      <c r="D84" s="308">
        <v>3.75</v>
      </c>
      <c r="E84" s="732"/>
      <c r="F84" s="735"/>
      <c r="G84" s="309" t="s">
        <v>1841</v>
      </c>
      <c r="H84" s="738"/>
      <c r="I84" s="741"/>
      <c r="J84" s="740"/>
      <c r="K84" s="770"/>
      <c r="L84" s="755"/>
      <c r="M84" s="755"/>
      <c r="N84" s="722"/>
      <c r="O84" s="744"/>
      <c r="P84" s="743"/>
      <c r="Q84" s="747"/>
      <c r="R84" s="732" t="s">
        <v>150</v>
      </c>
      <c r="S84" s="722"/>
    </row>
    <row r="85" spans="1:19" s="365" customFormat="1" x14ac:dyDescent="0.2">
      <c r="A85" s="747"/>
      <c r="B85" s="387"/>
      <c r="C85" s="307"/>
      <c r="D85" s="311">
        <f>SUM(D81:D84)</f>
        <v>11.42</v>
      </c>
      <c r="E85" s="381"/>
      <c r="F85" s="313"/>
      <c r="G85" s="309"/>
      <c r="H85" s="384"/>
      <c r="I85" s="315"/>
      <c r="J85" s="315"/>
      <c r="K85" s="316"/>
      <c r="L85" s="389"/>
      <c r="M85" s="318"/>
      <c r="N85" s="318"/>
      <c r="O85" s="307"/>
      <c r="P85" s="307"/>
      <c r="Q85" s="364"/>
      <c r="R85" s="381"/>
      <c r="S85" s="318"/>
    </row>
    <row r="86" spans="1:19" s="349" customFormat="1" x14ac:dyDescent="0.2">
      <c r="A86" s="745">
        <v>24</v>
      </c>
      <c r="B86" s="753" t="s">
        <v>1830</v>
      </c>
      <c r="C86" s="307" t="s">
        <v>1831</v>
      </c>
      <c r="D86" s="308">
        <v>10</v>
      </c>
      <c r="E86" s="721" t="s">
        <v>1222</v>
      </c>
      <c r="F86" s="733" t="s">
        <v>246</v>
      </c>
      <c r="G86" s="366" t="s">
        <v>1118</v>
      </c>
      <c r="H86" s="736" t="s">
        <v>780</v>
      </c>
      <c r="I86" s="739">
        <v>41264</v>
      </c>
      <c r="J86" s="739"/>
      <c r="K86" s="769">
        <v>41473</v>
      </c>
      <c r="L86" s="750">
        <v>49548</v>
      </c>
      <c r="M86" s="750">
        <v>34798.86</v>
      </c>
      <c r="N86" s="721">
        <v>100</v>
      </c>
      <c r="O86" s="742" t="s">
        <v>2292</v>
      </c>
      <c r="P86" s="742"/>
      <c r="Q86" s="745" t="s">
        <v>40</v>
      </c>
      <c r="R86" s="721" t="s">
        <v>271</v>
      </c>
      <c r="S86" s="721"/>
    </row>
    <row r="87" spans="1:19" s="349" customFormat="1" x14ac:dyDescent="0.2">
      <c r="A87" s="746"/>
      <c r="B87" s="754"/>
      <c r="C87" s="307" t="s">
        <v>37</v>
      </c>
      <c r="D87" s="308">
        <v>4</v>
      </c>
      <c r="E87" s="722"/>
      <c r="F87" s="734"/>
      <c r="G87" s="309" t="s">
        <v>2153</v>
      </c>
      <c r="H87" s="737"/>
      <c r="I87" s="740"/>
      <c r="J87" s="740"/>
      <c r="K87" s="770"/>
      <c r="L87" s="751"/>
      <c r="M87" s="751"/>
      <c r="N87" s="722"/>
      <c r="O87" s="743"/>
      <c r="P87" s="743"/>
      <c r="Q87" s="746"/>
      <c r="R87" s="722"/>
      <c r="S87" s="722"/>
    </row>
    <row r="88" spans="1:19" s="349" customFormat="1" x14ac:dyDescent="0.2">
      <c r="A88" s="746"/>
      <c r="B88" s="754"/>
      <c r="C88" s="307" t="s">
        <v>38</v>
      </c>
      <c r="D88" s="308">
        <v>5.0999999999999996</v>
      </c>
      <c r="E88" s="722"/>
      <c r="F88" s="734"/>
      <c r="G88" s="309" t="s">
        <v>1540</v>
      </c>
      <c r="H88" s="737"/>
      <c r="I88" s="740"/>
      <c r="J88" s="740"/>
      <c r="K88" s="770"/>
      <c r="L88" s="751"/>
      <c r="M88" s="751"/>
      <c r="N88" s="722"/>
      <c r="O88" s="743"/>
      <c r="P88" s="743"/>
      <c r="Q88" s="746"/>
      <c r="R88" s="722"/>
      <c r="S88" s="722"/>
    </row>
    <row r="89" spans="1:19" s="349" customFormat="1" x14ac:dyDescent="0.2">
      <c r="A89" s="746"/>
      <c r="B89" s="762"/>
      <c r="C89" s="307" t="s">
        <v>39</v>
      </c>
      <c r="D89" s="308">
        <v>2</v>
      </c>
      <c r="E89" s="732"/>
      <c r="F89" s="735"/>
      <c r="G89" s="366" t="s">
        <v>2089</v>
      </c>
      <c r="H89" s="738"/>
      <c r="I89" s="741"/>
      <c r="J89" s="740"/>
      <c r="K89" s="770"/>
      <c r="L89" s="755"/>
      <c r="M89" s="755"/>
      <c r="N89" s="722"/>
      <c r="O89" s="744"/>
      <c r="P89" s="743"/>
      <c r="Q89" s="747"/>
      <c r="R89" s="732" t="s">
        <v>150</v>
      </c>
      <c r="S89" s="722"/>
    </row>
    <row r="90" spans="1:19" s="365" customFormat="1" x14ac:dyDescent="0.2">
      <c r="A90" s="747"/>
      <c r="B90" s="387"/>
      <c r="C90" s="307"/>
      <c r="D90" s="311">
        <f>SUM(D86:D89)</f>
        <v>21.1</v>
      </c>
      <c r="E90" s="381"/>
      <c r="F90" s="313"/>
      <c r="G90" s="309"/>
      <c r="H90" s="384"/>
      <c r="I90" s="315"/>
      <c r="J90" s="315"/>
      <c r="K90" s="316"/>
      <c r="L90" s="389"/>
      <c r="M90" s="318"/>
      <c r="N90" s="318"/>
      <c r="O90" s="307"/>
      <c r="P90" s="307"/>
      <c r="Q90" s="364"/>
      <c r="R90" s="381"/>
      <c r="S90" s="318"/>
    </row>
    <row r="91" spans="1:19" s="349" customFormat="1" x14ac:dyDescent="0.2">
      <c r="A91" s="745">
        <v>25</v>
      </c>
      <c r="B91" s="753" t="s">
        <v>1359</v>
      </c>
      <c r="C91" s="307" t="s">
        <v>1360</v>
      </c>
      <c r="D91" s="308">
        <v>6.8</v>
      </c>
      <c r="E91" s="721" t="s">
        <v>1222</v>
      </c>
      <c r="F91" s="733" t="s">
        <v>246</v>
      </c>
      <c r="G91" s="309" t="s">
        <v>1691</v>
      </c>
      <c r="H91" s="736" t="s">
        <v>664</v>
      </c>
      <c r="I91" s="739">
        <v>41264</v>
      </c>
      <c r="J91" s="739"/>
      <c r="K91" s="769"/>
      <c r="L91" s="750">
        <v>23284</v>
      </c>
      <c r="M91" s="750"/>
      <c r="N91" s="721">
        <v>100</v>
      </c>
      <c r="O91" s="742" t="s">
        <v>2300</v>
      </c>
      <c r="P91" s="742"/>
      <c r="Q91" s="745" t="s">
        <v>665</v>
      </c>
      <c r="R91" s="721" t="s">
        <v>271</v>
      </c>
      <c r="S91" s="721"/>
    </row>
    <row r="92" spans="1:19" s="349" customFormat="1" x14ac:dyDescent="0.2">
      <c r="A92" s="746"/>
      <c r="B92" s="754"/>
      <c r="C92" s="307" t="s">
        <v>1361</v>
      </c>
      <c r="D92" s="308">
        <v>3</v>
      </c>
      <c r="E92" s="722"/>
      <c r="F92" s="734"/>
      <c r="G92" s="309" t="s">
        <v>1363</v>
      </c>
      <c r="H92" s="737"/>
      <c r="I92" s="740"/>
      <c r="J92" s="740"/>
      <c r="K92" s="770"/>
      <c r="L92" s="751"/>
      <c r="M92" s="751"/>
      <c r="N92" s="722"/>
      <c r="O92" s="743"/>
      <c r="P92" s="743"/>
      <c r="Q92" s="746"/>
      <c r="R92" s="722"/>
      <c r="S92" s="722"/>
    </row>
    <row r="93" spans="1:19" s="349" customFormat="1" x14ac:dyDescent="0.2">
      <c r="A93" s="746"/>
      <c r="B93" s="762"/>
      <c r="C93" s="307" t="s">
        <v>1362</v>
      </c>
      <c r="D93" s="308">
        <v>0.7</v>
      </c>
      <c r="E93" s="732"/>
      <c r="F93" s="735"/>
      <c r="G93" s="309" t="s">
        <v>1364</v>
      </c>
      <c r="H93" s="738"/>
      <c r="I93" s="741"/>
      <c r="J93" s="740"/>
      <c r="K93" s="770"/>
      <c r="L93" s="755"/>
      <c r="M93" s="755"/>
      <c r="N93" s="722"/>
      <c r="O93" s="744"/>
      <c r="P93" s="743"/>
      <c r="Q93" s="747"/>
      <c r="R93" s="732" t="s">
        <v>150</v>
      </c>
      <c r="S93" s="722"/>
    </row>
    <row r="94" spans="1:19" s="365" customFormat="1" x14ac:dyDescent="0.2">
      <c r="A94" s="747"/>
      <c r="B94" s="413"/>
      <c r="C94" s="307"/>
      <c r="D94" s="311">
        <f>SUM(D91:D93)</f>
        <v>10.5</v>
      </c>
      <c r="E94" s="418"/>
      <c r="F94" s="313"/>
      <c r="G94" s="309"/>
      <c r="H94" s="416"/>
      <c r="I94" s="315"/>
      <c r="J94" s="315"/>
      <c r="K94" s="316"/>
      <c r="L94" s="414"/>
      <c r="M94" s="318"/>
      <c r="N94" s="318"/>
      <c r="O94" s="307"/>
      <c r="P94" s="307"/>
      <c r="Q94" s="364"/>
      <c r="R94" s="418"/>
      <c r="S94" s="318"/>
    </row>
    <row r="95" spans="1:19" s="349" customFormat="1" x14ac:dyDescent="0.2">
      <c r="A95" s="746">
        <v>26</v>
      </c>
      <c r="B95" s="753" t="s">
        <v>41</v>
      </c>
      <c r="C95" s="307" t="s">
        <v>42</v>
      </c>
      <c r="D95" s="308">
        <v>7</v>
      </c>
      <c r="E95" s="721" t="s">
        <v>1222</v>
      </c>
      <c r="F95" s="733" t="s">
        <v>246</v>
      </c>
      <c r="G95" s="309" t="s">
        <v>43</v>
      </c>
      <c r="H95" s="763" t="s">
        <v>52</v>
      </c>
      <c r="I95" s="739">
        <v>41264</v>
      </c>
      <c r="J95" s="739"/>
      <c r="K95" s="739">
        <v>41449</v>
      </c>
      <c r="L95" s="750">
        <v>43901</v>
      </c>
      <c r="M95" s="750">
        <v>33338.949999999997</v>
      </c>
      <c r="N95" s="721">
        <v>100</v>
      </c>
      <c r="O95" s="742" t="s">
        <v>2294</v>
      </c>
      <c r="P95" s="742"/>
      <c r="Q95" s="745" t="s">
        <v>51</v>
      </c>
      <c r="R95" s="721" t="s">
        <v>271</v>
      </c>
      <c r="S95" s="721"/>
    </row>
    <row r="96" spans="1:19" s="349" customFormat="1" x14ac:dyDescent="0.2">
      <c r="A96" s="746"/>
      <c r="B96" s="754"/>
      <c r="C96" s="307" t="s">
        <v>44</v>
      </c>
      <c r="D96" s="308">
        <v>1.3</v>
      </c>
      <c r="E96" s="722"/>
      <c r="F96" s="734"/>
      <c r="G96" s="309" t="s">
        <v>1270</v>
      </c>
      <c r="H96" s="764"/>
      <c r="I96" s="740"/>
      <c r="J96" s="740"/>
      <c r="K96" s="740"/>
      <c r="L96" s="751"/>
      <c r="M96" s="751"/>
      <c r="N96" s="722"/>
      <c r="O96" s="743"/>
      <c r="P96" s="743"/>
      <c r="Q96" s="746"/>
      <c r="R96" s="722"/>
      <c r="S96" s="722"/>
    </row>
    <row r="97" spans="1:19" s="349" customFormat="1" x14ac:dyDescent="0.2">
      <c r="A97" s="746"/>
      <c r="B97" s="754"/>
      <c r="C97" s="307" t="s">
        <v>45</v>
      </c>
      <c r="D97" s="308">
        <v>1.2</v>
      </c>
      <c r="E97" s="722"/>
      <c r="F97" s="734"/>
      <c r="G97" s="309" t="s">
        <v>412</v>
      </c>
      <c r="H97" s="764"/>
      <c r="I97" s="740"/>
      <c r="J97" s="740"/>
      <c r="K97" s="740"/>
      <c r="L97" s="751"/>
      <c r="M97" s="751"/>
      <c r="N97" s="722"/>
      <c r="O97" s="743"/>
      <c r="P97" s="743"/>
      <c r="Q97" s="746"/>
      <c r="R97" s="722"/>
      <c r="S97" s="722"/>
    </row>
    <row r="98" spans="1:19" s="349" customFormat="1" x14ac:dyDescent="0.2">
      <c r="A98" s="746"/>
      <c r="B98" s="754"/>
      <c r="C98" s="307" t="s">
        <v>47</v>
      </c>
      <c r="D98" s="308">
        <v>2</v>
      </c>
      <c r="E98" s="722"/>
      <c r="F98" s="734"/>
      <c r="G98" s="309" t="s">
        <v>1958</v>
      </c>
      <c r="H98" s="764"/>
      <c r="I98" s="740"/>
      <c r="J98" s="740"/>
      <c r="K98" s="740"/>
      <c r="L98" s="751"/>
      <c r="M98" s="751"/>
      <c r="N98" s="722"/>
      <c r="O98" s="743"/>
      <c r="P98" s="743"/>
      <c r="Q98" s="746"/>
      <c r="R98" s="722"/>
      <c r="S98" s="722"/>
    </row>
    <row r="99" spans="1:19" s="349" customFormat="1" x14ac:dyDescent="0.2">
      <c r="A99" s="746"/>
      <c r="B99" s="754"/>
      <c r="C99" s="307" t="s">
        <v>48</v>
      </c>
      <c r="D99" s="308">
        <v>2.4</v>
      </c>
      <c r="E99" s="722"/>
      <c r="F99" s="734"/>
      <c r="G99" s="309" t="s">
        <v>1267</v>
      </c>
      <c r="H99" s="764"/>
      <c r="I99" s="740"/>
      <c r="J99" s="740"/>
      <c r="K99" s="740"/>
      <c r="L99" s="751"/>
      <c r="M99" s="751"/>
      <c r="N99" s="722"/>
      <c r="O99" s="743"/>
      <c r="P99" s="743"/>
      <c r="Q99" s="746"/>
      <c r="R99" s="722"/>
      <c r="S99" s="722"/>
    </row>
    <row r="100" spans="1:19" s="349" customFormat="1" x14ac:dyDescent="0.2">
      <c r="A100" s="746"/>
      <c r="B100" s="754"/>
      <c r="C100" s="307" t="s">
        <v>49</v>
      </c>
      <c r="D100" s="308">
        <v>2.9</v>
      </c>
      <c r="E100" s="722"/>
      <c r="F100" s="734"/>
      <c r="G100" s="309" t="s">
        <v>2094</v>
      </c>
      <c r="H100" s="764"/>
      <c r="I100" s="740"/>
      <c r="J100" s="740"/>
      <c r="K100" s="740"/>
      <c r="L100" s="751"/>
      <c r="M100" s="751"/>
      <c r="N100" s="722"/>
      <c r="O100" s="743"/>
      <c r="P100" s="743"/>
      <c r="Q100" s="746"/>
      <c r="R100" s="722"/>
      <c r="S100" s="722"/>
    </row>
    <row r="101" spans="1:19" s="349" customFormat="1" x14ac:dyDescent="0.2">
      <c r="A101" s="746"/>
      <c r="B101" s="762"/>
      <c r="C101" s="307" t="s">
        <v>50</v>
      </c>
      <c r="D101" s="308">
        <v>2.6</v>
      </c>
      <c r="E101" s="732"/>
      <c r="F101" s="735"/>
      <c r="G101" s="309" t="s">
        <v>46</v>
      </c>
      <c r="H101" s="765"/>
      <c r="I101" s="741"/>
      <c r="J101" s="741"/>
      <c r="K101" s="741"/>
      <c r="L101" s="755"/>
      <c r="M101" s="755"/>
      <c r="N101" s="722"/>
      <c r="O101" s="744"/>
      <c r="P101" s="743"/>
      <c r="Q101" s="747"/>
      <c r="R101" s="732"/>
      <c r="S101" s="722"/>
    </row>
    <row r="102" spans="1:19" s="365" customFormat="1" x14ac:dyDescent="0.2">
      <c r="A102" s="747"/>
      <c r="B102" s="387"/>
      <c r="C102" s="307"/>
      <c r="D102" s="311">
        <f>SUM(D95:D101)</f>
        <v>19.400000000000002</v>
      </c>
      <c r="E102" s="381"/>
      <c r="F102" s="313"/>
      <c r="G102" s="309"/>
      <c r="H102" s="384"/>
      <c r="I102" s="315"/>
      <c r="J102" s="315"/>
      <c r="K102" s="316"/>
      <c r="L102" s="389"/>
      <c r="M102" s="318"/>
      <c r="N102" s="318"/>
      <c r="O102" s="307"/>
      <c r="P102" s="307"/>
      <c r="Q102" s="364"/>
      <c r="R102" s="381"/>
      <c r="S102" s="318"/>
    </row>
    <row r="103" spans="1:19" s="349" customFormat="1" x14ac:dyDescent="0.2">
      <c r="A103" s="571">
        <v>27</v>
      </c>
      <c r="B103" s="753" t="s">
        <v>1977</v>
      </c>
      <c r="C103" s="307" t="s">
        <v>1290</v>
      </c>
      <c r="D103" s="308">
        <v>10.1</v>
      </c>
      <c r="E103" s="721" t="s">
        <v>841</v>
      </c>
      <c r="F103" s="733" t="s">
        <v>246</v>
      </c>
      <c r="G103" s="309" t="s">
        <v>184</v>
      </c>
      <c r="H103" s="736" t="s">
        <v>1978</v>
      </c>
      <c r="I103" s="739">
        <v>41264</v>
      </c>
      <c r="J103" s="739">
        <v>41361</v>
      </c>
      <c r="K103" s="739">
        <v>41453</v>
      </c>
      <c r="L103" s="750">
        <v>28818</v>
      </c>
      <c r="M103" s="750"/>
      <c r="N103" s="721">
        <v>70</v>
      </c>
      <c r="O103" s="742" t="s">
        <v>2315</v>
      </c>
      <c r="P103" s="742"/>
      <c r="Q103" s="745" t="s">
        <v>1979</v>
      </c>
      <c r="R103" s="721" t="s">
        <v>271</v>
      </c>
      <c r="S103" s="721"/>
    </row>
    <row r="104" spans="1:19" s="349" customFormat="1" x14ac:dyDescent="0.2">
      <c r="A104" s="572"/>
      <c r="B104" s="754"/>
      <c r="C104" s="307" t="s">
        <v>1291</v>
      </c>
      <c r="D104" s="308">
        <v>1</v>
      </c>
      <c r="E104" s="722"/>
      <c r="F104" s="734"/>
      <c r="G104" s="309" t="s">
        <v>187</v>
      </c>
      <c r="H104" s="737"/>
      <c r="I104" s="740"/>
      <c r="J104" s="740"/>
      <c r="K104" s="740"/>
      <c r="L104" s="751"/>
      <c r="M104" s="751"/>
      <c r="N104" s="722"/>
      <c r="O104" s="743"/>
      <c r="P104" s="743"/>
      <c r="Q104" s="746"/>
      <c r="R104" s="722"/>
      <c r="S104" s="722"/>
    </row>
    <row r="105" spans="1:19" s="349" customFormat="1" x14ac:dyDescent="0.2">
      <c r="A105" s="572"/>
      <c r="B105" s="762"/>
      <c r="C105" s="307" t="s">
        <v>1292</v>
      </c>
      <c r="D105" s="308">
        <v>1.7</v>
      </c>
      <c r="E105" s="732"/>
      <c r="F105" s="735"/>
      <c r="G105" s="309" t="s">
        <v>186</v>
      </c>
      <c r="H105" s="738"/>
      <c r="I105" s="741"/>
      <c r="J105" s="741"/>
      <c r="K105" s="741"/>
      <c r="L105" s="755"/>
      <c r="M105" s="755"/>
      <c r="N105" s="722"/>
      <c r="O105" s="744"/>
      <c r="P105" s="743"/>
      <c r="Q105" s="747"/>
      <c r="R105" s="732" t="s">
        <v>150</v>
      </c>
      <c r="S105" s="722"/>
    </row>
    <row r="106" spans="1:19" s="105" customFormat="1" x14ac:dyDescent="0.2">
      <c r="A106" s="573"/>
      <c r="B106" s="131"/>
      <c r="C106" s="140"/>
      <c r="D106" s="83">
        <f>SUM(D103:D105)</f>
        <v>12.799999999999999</v>
      </c>
      <c r="E106" s="151"/>
      <c r="F106" s="24"/>
      <c r="G106" s="63"/>
      <c r="H106" s="163"/>
      <c r="I106" s="81"/>
      <c r="J106" s="81"/>
      <c r="K106" s="82"/>
      <c r="L106" s="156"/>
      <c r="M106" s="153"/>
      <c r="N106" s="260"/>
      <c r="O106" s="140"/>
      <c r="P106" s="140"/>
      <c r="Q106" s="80"/>
      <c r="R106" s="151"/>
      <c r="S106" s="153"/>
    </row>
    <row r="107" spans="1:19" x14ac:dyDescent="0.2">
      <c r="A107" s="571">
        <v>28</v>
      </c>
      <c r="B107" s="558" t="s">
        <v>1981</v>
      </c>
      <c r="C107" s="140" t="s">
        <v>1980</v>
      </c>
      <c r="D107" s="78">
        <v>10.6</v>
      </c>
      <c r="E107" s="543" t="s">
        <v>841</v>
      </c>
      <c r="F107" s="552" t="s">
        <v>246</v>
      </c>
      <c r="G107" s="63" t="s">
        <v>867</v>
      </c>
      <c r="H107" s="609" t="s">
        <v>54</v>
      </c>
      <c r="I107" s="589">
        <v>41264</v>
      </c>
      <c r="J107" s="589"/>
      <c r="K107" s="589"/>
      <c r="L107" s="588">
        <v>46659</v>
      </c>
      <c r="M107" s="588"/>
      <c r="N107" s="716"/>
      <c r="O107" s="615"/>
      <c r="P107" s="580"/>
      <c r="Q107" s="571" t="s">
        <v>53</v>
      </c>
      <c r="R107" s="543" t="s">
        <v>271</v>
      </c>
      <c r="S107" s="543"/>
    </row>
    <row r="108" spans="1:19" x14ac:dyDescent="0.2">
      <c r="A108" s="572"/>
      <c r="B108" s="613"/>
      <c r="C108" s="140" t="s">
        <v>1982</v>
      </c>
      <c r="D108" s="78">
        <v>4.4000000000000004</v>
      </c>
      <c r="E108" s="544"/>
      <c r="F108" s="553"/>
      <c r="G108" s="63" t="s">
        <v>1097</v>
      </c>
      <c r="H108" s="584"/>
      <c r="I108" s="590"/>
      <c r="J108" s="590"/>
      <c r="K108" s="590"/>
      <c r="L108" s="586"/>
      <c r="M108" s="586"/>
      <c r="N108" s="717"/>
      <c r="O108" s="616"/>
      <c r="P108" s="581"/>
      <c r="Q108" s="572"/>
      <c r="R108" s="544"/>
      <c r="S108" s="544"/>
    </row>
    <row r="109" spans="1:19" x14ac:dyDescent="0.2">
      <c r="A109" s="572"/>
      <c r="B109" s="613"/>
      <c r="C109" s="140" t="s">
        <v>1972</v>
      </c>
      <c r="D109" s="78">
        <v>3.5</v>
      </c>
      <c r="E109" s="544"/>
      <c r="F109" s="553"/>
      <c r="G109" s="63" t="s">
        <v>870</v>
      </c>
      <c r="H109" s="584"/>
      <c r="I109" s="590"/>
      <c r="J109" s="590"/>
      <c r="K109" s="590"/>
      <c r="L109" s="586"/>
      <c r="M109" s="586"/>
      <c r="N109" s="717"/>
      <c r="O109" s="616"/>
      <c r="P109" s="581"/>
      <c r="Q109" s="572"/>
      <c r="R109" s="544"/>
      <c r="S109" s="544"/>
    </row>
    <row r="110" spans="1:19" x14ac:dyDescent="0.2">
      <c r="A110" s="572"/>
      <c r="B110" s="559"/>
      <c r="C110" s="140" t="s">
        <v>1973</v>
      </c>
      <c r="D110" s="78">
        <v>2</v>
      </c>
      <c r="E110" s="545"/>
      <c r="F110" s="554"/>
      <c r="G110" s="63" t="s">
        <v>868</v>
      </c>
      <c r="H110" s="585"/>
      <c r="I110" s="591"/>
      <c r="J110" s="591"/>
      <c r="K110" s="591"/>
      <c r="L110" s="587"/>
      <c r="M110" s="587"/>
      <c r="N110" s="717"/>
      <c r="O110" s="617"/>
      <c r="P110" s="581"/>
      <c r="Q110" s="573"/>
      <c r="R110" s="545" t="s">
        <v>150</v>
      </c>
      <c r="S110" s="544"/>
    </row>
    <row r="111" spans="1:19" s="105" customFormat="1" x14ac:dyDescent="0.2">
      <c r="A111" s="573"/>
      <c r="B111" s="131"/>
      <c r="C111" s="140"/>
      <c r="D111" s="83">
        <f>SUM(D107:D110)</f>
        <v>20.5</v>
      </c>
      <c r="E111" s="151"/>
      <c r="F111" s="24"/>
      <c r="G111" s="63"/>
      <c r="H111" s="163"/>
      <c r="I111" s="81"/>
      <c r="J111" s="81"/>
      <c r="K111" s="82"/>
      <c r="L111" s="156"/>
      <c r="M111" s="153"/>
      <c r="N111" s="260"/>
      <c r="O111" s="140"/>
      <c r="P111" s="140"/>
      <c r="Q111" s="80"/>
      <c r="R111" s="151"/>
      <c r="S111" s="153"/>
    </row>
    <row r="112" spans="1:19" ht="20.25" customHeight="1" x14ac:dyDescent="0.2">
      <c r="A112" s="571">
        <v>29</v>
      </c>
      <c r="B112" s="558" t="s">
        <v>55</v>
      </c>
      <c r="C112" s="140" t="s">
        <v>56</v>
      </c>
      <c r="D112" s="78">
        <v>6</v>
      </c>
      <c r="E112" s="543" t="s">
        <v>841</v>
      </c>
      <c r="F112" s="552" t="s">
        <v>246</v>
      </c>
      <c r="G112" s="63" t="s">
        <v>57</v>
      </c>
      <c r="H112" s="609" t="s">
        <v>59</v>
      </c>
      <c r="I112" s="589">
        <v>41264</v>
      </c>
      <c r="J112" s="589">
        <v>41411</v>
      </c>
      <c r="K112" s="589">
        <v>41502</v>
      </c>
      <c r="L112" s="588">
        <v>25560</v>
      </c>
      <c r="M112" s="588">
        <v>21181.5</v>
      </c>
      <c r="N112" s="721">
        <v>100</v>
      </c>
      <c r="O112" s="615" t="s">
        <v>104</v>
      </c>
      <c r="P112" s="580"/>
      <c r="Q112" s="571" t="s">
        <v>1724</v>
      </c>
      <c r="R112" s="543" t="s">
        <v>271</v>
      </c>
      <c r="S112" s="543">
        <v>1</v>
      </c>
    </row>
    <row r="113" spans="1:19" ht="26.25" customHeight="1" x14ac:dyDescent="0.2">
      <c r="A113" s="572"/>
      <c r="B113" s="559"/>
      <c r="C113" s="140" t="s">
        <v>58</v>
      </c>
      <c r="D113" s="78">
        <v>5.4</v>
      </c>
      <c r="E113" s="545"/>
      <c r="F113" s="554"/>
      <c r="G113" s="63" t="s">
        <v>157</v>
      </c>
      <c r="H113" s="585"/>
      <c r="I113" s="591"/>
      <c r="J113" s="590"/>
      <c r="K113" s="590"/>
      <c r="L113" s="587"/>
      <c r="M113" s="587"/>
      <c r="N113" s="722"/>
      <c r="O113" s="617"/>
      <c r="P113" s="581"/>
      <c r="Q113" s="573"/>
      <c r="R113" s="545" t="s">
        <v>150</v>
      </c>
      <c r="S113" s="544"/>
    </row>
    <row r="114" spans="1:19" s="105" customFormat="1" x14ac:dyDescent="0.2">
      <c r="A114" s="573"/>
      <c r="B114" s="131"/>
      <c r="C114" s="140"/>
      <c r="D114" s="83">
        <f>SUM(D112:D113)</f>
        <v>11.4</v>
      </c>
      <c r="E114" s="151"/>
      <c r="F114" s="24"/>
      <c r="G114" s="63"/>
      <c r="H114" s="163"/>
      <c r="I114" s="81"/>
      <c r="J114" s="81"/>
      <c r="K114" s="82"/>
      <c r="L114" s="156"/>
      <c r="M114" s="153"/>
      <c r="N114" s="260"/>
      <c r="O114" s="140"/>
      <c r="P114" s="140"/>
      <c r="Q114" s="80"/>
      <c r="R114" s="151"/>
      <c r="S114" s="153"/>
    </row>
    <row r="115" spans="1:19" s="365" customFormat="1" ht="63.75" customHeight="1" x14ac:dyDescent="0.2">
      <c r="A115" s="659">
        <v>30</v>
      </c>
      <c r="B115" s="336" t="s">
        <v>1722</v>
      </c>
      <c r="C115" s="337" t="s">
        <v>1722</v>
      </c>
      <c r="D115" s="360">
        <v>13</v>
      </c>
      <c r="E115" s="359" t="s">
        <v>841</v>
      </c>
      <c r="F115" s="313" t="s">
        <v>246</v>
      </c>
      <c r="G115" s="361" t="s">
        <v>1888</v>
      </c>
      <c r="H115" s="342" t="s">
        <v>1027</v>
      </c>
      <c r="I115" s="362">
        <v>41264</v>
      </c>
      <c r="J115" s="362"/>
      <c r="K115" s="362"/>
      <c r="L115" s="363">
        <v>29074</v>
      </c>
      <c r="M115" s="363"/>
      <c r="N115" s="359">
        <v>100</v>
      </c>
      <c r="O115" s="320" t="s">
        <v>1402</v>
      </c>
      <c r="P115" s="352"/>
      <c r="Q115" s="364" t="s">
        <v>1723</v>
      </c>
      <c r="R115" s="359" t="s">
        <v>271</v>
      </c>
      <c r="S115" s="359"/>
    </row>
    <row r="116" spans="1:19" ht="12.75" customHeight="1" x14ac:dyDescent="0.2">
      <c r="A116" s="564"/>
      <c r="B116" s="131"/>
      <c r="C116" s="139"/>
      <c r="D116" s="95">
        <f>SUM(D115:D115)</f>
        <v>13</v>
      </c>
      <c r="E116" s="151"/>
      <c r="F116" s="36"/>
      <c r="G116" s="75"/>
      <c r="H116" s="163"/>
      <c r="I116" s="104"/>
      <c r="J116" s="76"/>
      <c r="K116" s="77"/>
      <c r="L116" s="156"/>
      <c r="M116" s="149"/>
      <c r="N116" s="262"/>
      <c r="O116" s="139"/>
      <c r="P116" s="139"/>
      <c r="Q116" s="67"/>
      <c r="R116" s="151"/>
      <c r="S116" s="149"/>
    </row>
    <row r="117" spans="1:19" x14ac:dyDescent="0.2">
      <c r="A117" s="571">
        <v>31</v>
      </c>
      <c r="B117" s="558" t="s">
        <v>1225</v>
      </c>
      <c r="C117" s="140" t="s">
        <v>1226</v>
      </c>
      <c r="D117" s="78">
        <v>12</v>
      </c>
      <c r="E117" s="543" t="s">
        <v>841</v>
      </c>
      <c r="F117" s="552" t="s">
        <v>246</v>
      </c>
      <c r="G117" s="63" t="s">
        <v>2241</v>
      </c>
      <c r="H117" s="609" t="s">
        <v>1232</v>
      </c>
      <c r="I117" s="589">
        <v>41264</v>
      </c>
      <c r="J117" s="589">
        <v>41312</v>
      </c>
      <c r="K117" s="589">
        <v>41401</v>
      </c>
      <c r="L117" s="588">
        <v>34340</v>
      </c>
      <c r="M117" s="588">
        <v>32621.3</v>
      </c>
      <c r="N117" s="716">
        <v>100</v>
      </c>
      <c r="O117" s="615" t="s">
        <v>268</v>
      </c>
      <c r="P117" s="580"/>
      <c r="Q117" s="571" t="s">
        <v>1233</v>
      </c>
      <c r="R117" s="543" t="s">
        <v>271</v>
      </c>
      <c r="S117" s="543"/>
    </row>
    <row r="118" spans="1:19" x14ac:dyDescent="0.2">
      <c r="A118" s="572"/>
      <c r="B118" s="613"/>
      <c r="C118" s="140" t="s">
        <v>1227</v>
      </c>
      <c r="D118" s="78">
        <v>0.4</v>
      </c>
      <c r="E118" s="544"/>
      <c r="F118" s="553"/>
      <c r="G118" s="63" t="s">
        <v>1230</v>
      </c>
      <c r="H118" s="584"/>
      <c r="I118" s="590"/>
      <c r="J118" s="590"/>
      <c r="K118" s="590"/>
      <c r="L118" s="586"/>
      <c r="M118" s="586"/>
      <c r="N118" s="717"/>
      <c r="O118" s="616"/>
      <c r="P118" s="581"/>
      <c r="Q118" s="572"/>
      <c r="R118" s="544"/>
      <c r="S118" s="544"/>
    </row>
    <row r="119" spans="1:19" x14ac:dyDescent="0.2">
      <c r="A119" s="572"/>
      <c r="B119" s="613"/>
      <c r="C119" s="140" t="s">
        <v>1228</v>
      </c>
      <c r="D119" s="78">
        <v>1</v>
      </c>
      <c r="E119" s="544"/>
      <c r="F119" s="553"/>
      <c r="G119" s="63" t="s">
        <v>1510</v>
      </c>
      <c r="H119" s="584"/>
      <c r="I119" s="590"/>
      <c r="J119" s="590"/>
      <c r="K119" s="590"/>
      <c r="L119" s="586"/>
      <c r="M119" s="586"/>
      <c r="N119" s="717"/>
      <c r="O119" s="616"/>
      <c r="P119" s="581"/>
      <c r="Q119" s="572"/>
      <c r="R119" s="544"/>
      <c r="S119" s="544"/>
    </row>
    <row r="120" spans="1:19" x14ac:dyDescent="0.2">
      <c r="A120" s="572"/>
      <c r="B120" s="559"/>
      <c r="C120" s="140" t="s">
        <v>1229</v>
      </c>
      <c r="D120" s="78">
        <v>2.2000000000000002</v>
      </c>
      <c r="E120" s="545"/>
      <c r="F120" s="554"/>
      <c r="G120" s="63" t="s">
        <v>1231</v>
      </c>
      <c r="H120" s="585"/>
      <c r="I120" s="591"/>
      <c r="J120" s="590"/>
      <c r="K120" s="590"/>
      <c r="L120" s="587"/>
      <c r="M120" s="587"/>
      <c r="N120" s="717"/>
      <c r="O120" s="617"/>
      <c r="P120" s="581"/>
      <c r="Q120" s="573"/>
      <c r="R120" s="545" t="s">
        <v>150</v>
      </c>
      <c r="S120" s="544"/>
    </row>
    <row r="121" spans="1:19" s="105" customFormat="1" x14ac:dyDescent="0.2">
      <c r="A121" s="573"/>
      <c r="B121" s="131"/>
      <c r="C121" s="140"/>
      <c r="D121" s="83">
        <f>SUM(D117:D120)</f>
        <v>15.600000000000001</v>
      </c>
      <c r="E121" s="151"/>
      <c r="F121" s="24"/>
      <c r="G121" s="63"/>
      <c r="H121" s="163"/>
      <c r="I121" s="81"/>
      <c r="J121" s="81"/>
      <c r="K121" s="82"/>
      <c r="L121" s="156"/>
      <c r="M121" s="153"/>
      <c r="N121" s="260"/>
      <c r="O121" s="140"/>
      <c r="P121" s="140"/>
      <c r="Q121" s="80"/>
      <c r="R121" s="151"/>
      <c r="S121" s="153"/>
    </row>
    <row r="122" spans="1:19" x14ac:dyDescent="0.2">
      <c r="A122" s="571">
        <v>32</v>
      </c>
      <c r="B122" s="558" t="s">
        <v>1725</v>
      </c>
      <c r="C122" s="140" t="s">
        <v>316</v>
      </c>
      <c r="D122" s="78">
        <v>11</v>
      </c>
      <c r="E122" s="543" t="s">
        <v>841</v>
      </c>
      <c r="F122" s="552" t="s">
        <v>246</v>
      </c>
      <c r="G122" s="64" t="s">
        <v>317</v>
      </c>
      <c r="H122" s="609" t="s">
        <v>321</v>
      </c>
      <c r="I122" s="589">
        <v>41264</v>
      </c>
      <c r="J122" s="589"/>
      <c r="K122" s="589"/>
      <c r="L122" s="588">
        <v>49827.199999999997</v>
      </c>
      <c r="M122" s="588"/>
      <c r="N122" s="716"/>
      <c r="O122" s="615"/>
      <c r="P122" s="580"/>
      <c r="Q122" s="571" t="s">
        <v>322</v>
      </c>
      <c r="R122" s="543" t="s">
        <v>271</v>
      </c>
      <c r="S122" s="543"/>
    </row>
    <row r="123" spans="1:19" x14ac:dyDescent="0.2">
      <c r="A123" s="572"/>
      <c r="B123" s="613"/>
      <c r="C123" s="140" t="s">
        <v>319</v>
      </c>
      <c r="D123" s="78">
        <v>6</v>
      </c>
      <c r="E123" s="544"/>
      <c r="F123" s="553"/>
      <c r="G123" s="64" t="s">
        <v>2181</v>
      </c>
      <c r="H123" s="584"/>
      <c r="I123" s="590"/>
      <c r="J123" s="590"/>
      <c r="K123" s="590"/>
      <c r="L123" s="586"/>
      <c r="M123" s="586"/>
      <c r="N123" s="717"/>
      <c r="O123" s="616"/>
      <c r="P123" s="581"/>
      <c r="Q123" s="572"/>
      <c r="R123" s="544"/>
      <c r="S123" s="544"/>
    </row>
    <row r="124" spans="1:19" x14ac:dyDescent="0.2">
      <c r="A124" s="572"/>
      <c r="B124" s="559"/>
      <c r="C124" s="140" t="s">
        <v>320</v>
      </c>
      <c r="D124" s="78">
        <v>4.7</v>
      </c>
      <c r="E124" s="545"/>
      <c r="F124" s="554"/>
      <c r="G124" s="64" t="s">
        <v>318</v>
      </c>
      <c r="H124" s="585"/>
      <c r="I124" s="591"/>
      <c r="J124" s="591"/>
      <c r="K124" s="591"/>
      <c r="L124" s="587"/>
      <c r="M124" s="587"/>
      <c r="N124" s="717"/>
      <c r="O124" s="617"/>
      <c r="P124" s="581"/>
      <c r="Q124" s="573"/>
      <c r="R124" s="545" t="s">
        <v>150</v>
      </c>
      <c r="S124" s="544"/>
    </row>
    <row r="125" spans="1:19" s="105" customFormat="1" x14ac:dyDescent="0.2">
      <c r="A125" s="573"/>
      <c r="B125" s="131"/>
      <c r="C125" s="140"/>
      <c r="D125" s="83">
        <f>SUM(D122:D124)</f>
        <v>21.7</v>
      </c>
      <c r="E125" s="151"/>
      <c r="F125" s="24"/>
      <c r="G125" s="63"/>
      <c r="H125" s="163"/>
      <c r="I125" s="81"/>
      <c r="J125" s="81"/>
      <c r="K125" s="82"/>
      <c r="L125" s="156"/>
      <c r="M125" s="153"/>
      <c r="N125" s="260"/>
      <c r="O125" s="140"/>
      <c r="P125" s="140"/>
      <c r="Q125" s="80"/>
      <c r="R125" s="151"/>
      <c r="S125" s="153"/>
    </row>
    <row r="126" spans="1:19" s="292" customFormat="1" x14ac:dyDescent="0.2">
      <c r="A126" s="571">
        <v>33</v>
      </c>
      <c r="B126" s="806" t="s">
        <v>323</v>
      </c>
      <c r="C126" s="403" t="s">
        <v>324</v>
      </c>
      <c r="D126" s="404">
        <v>5.6</v>
      </c>
      <c r="E126" s="756" t="s">
        <v>841</v>
      </c>
      <c r="F126" s="777" t="s">
        <v>246</v>
      </c>
      <c r="G126" s="402" t="s">
        <v>1511</v>
      </c>
      <c r="H126" s="729" t="s">
        <v>950</v>
      </c>
      <c r="I126" s="772">
        <v>41264</v>
      </c>
      <c r="J126" s="772"/>
      <c r="K126" s="772"/>
      <c r="L126" s="758">
        <v>32355</v>
      </c>
      <c r="M126" s="758"/>
      <c r="N126" s="756">
        <v>50</v>
      </c>
      <c r="O126" s="792" t="s">
        <v>2316</v>
      </c>
      <c r="P126" s="792"/>
      <c r="Q126" s="801" t="s">
        <v>326</v>
      </c>
      <c r="R126" s="756" t="s">
        <v>271</v>
      </c>
      <c r="S126" s="756"/>
    </row>
    <row r="127" spans="1:19" s="292" customFormat="1" x14ac:dyDescent="0.2">
      <c r="A127" s="572"/>
      <c r="B127" s="774"/>
      <c r="C127" s="403" t="s">
        <v>1584</v>
      </c>
      <c r="D127" s="404">
        <v>1.5</v>
      </c>
      <c r="E127" s="757"/>
      <c r="F127" s="778"/>
      <c r="G127" s="402" t="s">
        <v>440</v>
      </c>
      <c r="H127" s="730"/>
      <c r="I127" s="773"/>
      <c r="J127" s="773"/>
      <c r="K127" s="773"/>
      <c r="L127" s="759"/>
      <c r="M127" s="759"/>
      <c r="N127" s="757"/>
      <c r="O127" s="793"/>
      <c r="P127" s="793"/>
      <c r="Q127" s="802"/>
      <c r="R127" s="757"/>
      <c r="S127" s="757"/>
    </row>
    <row r="128" spans="1:19" s="292" customFormat="1" x14ac:dyDescent="0.2">
      <c r="A128" s="572"/>
      <c r="B128" s="774"/>
      <c r="C128" s="403" t="s">
        <v>1585</v>
      </c>
      <c r="D128" s="404">
        <v>0.8</v>
      </c>
      <c r="E128" s="757"/>
      <c r="F128" s="778"/>
      <c r="G128" s="402" t="s">
        <v>325</v>
      </c>
      <c r="H128" s="730"/>
      <c r="I128" s="773"/>
      <c r="J128" s="773"/>
      <c r="K128" s="773"/>
      <c r="L128" s="759"/>
      <c r="M128" s="759"/>
      <c r="N128" s="757"/>
      <c r="O128" s="793"/>
      <c r="P128" s="793"/>
      <c r="Q128" s="802"/>
      <c r="R128" s="757"/>
      <c r="S128" s="757"/>
    </row>
    <row r="129" spans="1:19" s="292" customFormat="1" x14ac:dyDescent="0.2">
      <c r="A129" s="572"/>
      <c r="B129" s="774"/>
      <c r="C129" s="403" t="s">
        <v>1586</v>
      </c>
      <c r="D129" s="404">
        <v>2.85</v>
      </c>
      <c r="E129" s="757"/>
      <c r="F129" s="778"/>
      <c r="G129" s="402" t="s">
        <v>441</v>
      </c>
      <c r="H129" s="730"/>
      <c r="I129" s="773"/>
      <c r="J129" s="773"/>
      <c r="K129" s="773"/>
      <c r="L129" s="759"/>
      <c r="M129" s="759"/>
      <c r="N129" s="757"/>
      <c r="O129" s="793"/>
      <c r="P129" s="793"/>
      <c r="Q129" s="802"/>
      <c r="R129" s="757"/>
      <c r="S129" s="757"/>
    </row>
    <row r="130" spans="1:19" s="292" customFormat="1" x14ac:dyDescent="0.2">
      <c r="A130" s="572"/>
      <c r="B130" s="807"/>
      <c r="C130" s="403" t="s">
        <v>1587</v>
      </c>
      <c r="D130" s="404">
        <v>3.5</v>
      </c>
      <c r="E130" s="761"/>
      <c r="F130" s="808"/>
      <c r="G130" s="402" t="s">
        <v>439</v>
      </c>
      <c r="H130" s="731"/>
      <c r="I130" s="788"/>
      <c r="J130" s="773"/>
      <c r="K130" s="773"/>
      <c r="L130" s="760"/>
      <c r="M130" s="760"/>
      <c r="N130" s="757"/>
      <c r="O130" s="794"/>
      <c r="P130" s="793"/>
      <c r="Q130" s="803"/>
      <c r="R130" s="761" t="s">
        <v>150</v>
      </c>
      <c r="S130" s="757"/>
    </row>
    <row r="131" spans="1:19" s="105" customFormat="1" x14ac:dyDescent="0.2">
      <c r="A131" s="573"/>
      <c r="B131" s="131"/>
      <c r="C131" s="140"/>
      <c r="D131" s="83">
        <f>SUM(D126:D130)</f>
        <v>14.25</v>
      </c>
      <c r="E131" s="151"/>
      <c r="F131" s="24"/>
      <c r="G131" s="63"/>
      <c r="H131" s="163"/>
      <c r="I131" s="81"/>
      <c r="J131" s="81"/>
      <c r="K131" s="82"/>
      <c r="L131" s="156"/>
      <c r="M131" s="153"/>
      <c r="N131" s="260"/>
      <c r="O131" s="140"/>
      <c r="P131" s="140"/>
      <c r="Q131" s="80"/>
      <c r="R131" s="151"/>
      <c r="S131" s="153"/>
    </row>
    <row r="132" spans="1:19" x14ac:dyDescent="0.2">
      <c r="A132" s="571">
        <v>34</v>
      </c>
      <c r="B132" s="558" t="s">
        <v>61</v>
      </c>
      <c r="C132" s="140" t="s">
        <v>60</v>
      </c>
      <c r="D132" s="78">
        <v>12</v>
      </c>
      <c r="E132" s="543" t="s">
        <v>841</v>
      </c>
      <c r="F132" s="552" t="s">
        <v>246</v>
      </c>
      <c r="G132" s="63" t="s">
        <v>1854</v>
      </c>
      <c r="H132" s="609" t="s">
        <v>64</v>
      </c>
      <c r="I132" s="589">
        <v>41264</v>
      </c>
      <c r="J132" s="589">
        <v>41362</v>
      </c>
      <c r="K132" s="589">
        <v>41454</v>
      </c>
      <c r="L132" s="588">
        <v>40200</v>
      </c>
      <c r="M132" s="588">
        <v>38857</v>
      </c>
      <c r="N132" s="716">
        <v>100</v>
      </c>
      <c r="O132" s="615" t="s">
        <v>2189</v>
      </c>
      <c r="P132" s="580"/>
      <c r="Q132" s="571" t="s">
        <v>598</v>
      </c>
      <c r="R132" s="543" t="s">
        <v>271</v>
      </c>
      <c r="S132" s="543"/>
    </row>
    <row r="133" spans="1:19" x14ac:dyDescent="0.2">
      <c r="A133" s="572"/>
      <c r="B133" s="613"/>
      <c r="C133" s="140" t="s">
        <v>62</v>
      </c>
      <c r="D133" s="78">
        <v>1.9</v>
      </c>
      <c r="E133" s="544"/>
      <c r="F133" s="553"/>
      <c r="G133" s="63" t="s">
        <v>1096</v>
      </c>
      <c r="H133" s="584"/>
      <c r="I133" s="590"/>
      <c r="J133" s="590"/>
      <c r="K133" s="590"/>
      <c r="L133" s="586"/>
      <c r="M133" s="586"/>
      <c r="N133" s="717"/>
      <c r="O133" s="616"/>
      <c r="P133" s="581"/>
      <c r="Q133" s="572"/>
      <c r="R133" s="544"/>
      <c r="S133" s="544"/>
    </row>
    <row r="134" spans="1:19" x14ac:dyDescent="0.2">
      <c r="A134" s="572"/>
      <c r="B134" s="559"/>
      <c r="C134" s="140" t="s">
        <v>63</v>
      </c>
      <c r="D134" s="78">
        <v>4</v>
      </c>
      <c r="E134" s="545"/>
      <c r="F134" s="554"/>
      <c r="G134" s="63" t="s">
        <v>1095</v>
      </c>
      <c r="H134" s="585"/>
      <c r="I134" s="591"/>
      <c r="J134" s="591"/>
      <c r="K134" s="591"/>
      <c r="L134" s="587"/>
      <c r="M134" s="587"/>
      <c r="N134" s="717"/>
      <c r="O134" s="617"/>
      <c r="P134" s="581"/>
      <c r="Q134" s="573"/>
      <c r="R134" s="545" t="s">
        <v>150</v>
      </c>
      <c r="S134" s="544"/>
    </row>
    <row r="135" spans="1:19" s="105" customFormat="1" x14ac:dyDescent="0.2">
      <c r="A135" s="573"/>
      <c r="B135" s="131"/>
      <c r="C135" s="140"/>
      <c r="D135" s="83">
        <f>SUM(D132:D134)</f>
        <v>17.899999999999999</v>
      </c>
      <c r="E135" s="151"/>
      <c r="F135" s="24"/>
      <c r="G135" s="63"/>
      <c r="H135" s="163"/>
      <c r="I135" s="81"/>
      <c r="J135" s="81"/>
      <c r="K135" s="82"/>
      <c r="L135" s="156"/>
      <c r="M135" s="153"/>
      <c r="N135" s="260"/>
      <c r="O135" s="140"/>
      <c r="P135" s="140"/>
      <c r="Q135" s="80"/>
      <c r="R135" s="151"/>
      <c r="S135" s="153"/>
    </row>
    <row r="136" spans="1:19" x14ac:dyDescent="0.2">
      <c r="A136" s="571">
        <v>35</v>
      </c>
      <c r="B136" s="558" t="s">
        <v>1643</v>
      </c>
      <c r="C136" s="140" t="s">
        <v>1768</v>
      </c>
      <c r="D136" s="78">
        <v>10</v>
      </c>
      <c r="E136" s="543" t="s">
        <v>841</v>
      </c>
      <c r="F136" s="552" t="s">
        <v>246</v>
      </c>
      <c r="G136" s="63" t="s">
        <v>1644</v>
      </c>
      <c r="H136" s="609" t="s">
        <v>431</v>
      </c>
      <c r="I136" s="589">
        <v>41264</v>
      </c>
      <c r="J136" s="589"/>
      <c r="K136" s="589"/>
      <c r="L136" s="588">
        <v>26553</v>
      </c>
      <c r="M136" s="588"/>
      <c r="N136" s="716"/>
      <c r="O136" s="615"/>
      <c r="P136" s="580"/>
      <c r="Q136" s="571" t="s">
        <v>432</v>
      </c>
      <c r="R136" s="543" t="s">
        <v>271</v>
      </c>
      <c r="S136" s="543"/>
    </row>
    <row r="137" spans="1:19" x14ac:dyDescent="0.2">
      <c r="A137" s="572"/>
      <c r="B137" s="613"/>
      <c r="C137" s="140" t="s">
        <v>1645</v>
      </c>
      <c r="D137" s="78">
        <v>1.1000000000000001</v>
      </c>
      <c r="E137" s="544"/>
      <c r="F137" s="553"/>
      <c r="G137" s="63" t="s">
        <v>2184</v>
      </c>
      <c r="H137" s="584"/>
      <c r="I137" s="590"/>
      <c r="J137" s="590"/>
      <c r="K137" s="590"/>
      <c r="L137" s="586"/>
      <c r="M137" s="586"/>
      <c r="N137" s="717"/>
      <c r="O137" s="616"/>
      <c r="P137" s="581"/>
      <c r="Q137" s="572"/>
      <c r="R137" s="544"/>
      <c r="S137" s="544"/>
    </row>
    <row r="138" spans="1:19" x14ac:dyDescent="0.2">
      <c r="A138" s="572"/>
      <c r="B138" s="559"/>
      <c r="C138" s="140" t="s">
        <v>1646</v>
      </c>
      <c r="D138" s="78">
        <v>0.65</v>
      </c>
      <c r="E138" s="545"/>
      <c r="F138" s="554"/>
      <c r="G138" s="63" t="s">
        <v>1843</v>
      </c>
      <c r="H138" s="585"/>
      <c r="I138" s="591"/>
      <c r="J138" s="591"/>
      <c r="K138" s="591"/>
      <c r="L138" s="587"/>
      <c r="M138" s="587"/>
      <c r="N138" s="717"/>
      <c r="O138" s="617"/>
      <c r="P138" s="581"/>
      <c r="Q138" s="573"/>
      <c r="R138" s="545" t="s">
        <v>150</v>
      </c>
      <c r="S138" s="544"/>
    </row>
    <row r="139" spans="1:19" s="105" customFormat="1" x14ac:dyDescent="0.2">
      <c r="A139" s="573"/>
      <c r="B139" s="131"/>
      <c r="C139" s="140"/>
      <c r="D139" s="83">
        <f>SUM(D136:D138)</f>
        <v>11.75</v>
      </c>
      <c r="E139" s="151"/>
      <c r="F139" s="24"/>
      <c r="G139" s="63"/>
      <c r="H139" s="163"/>
      <c r="I139" s="81"/>
      <c r="J139" s="81"/>
      <c r="K139" s="82"/>
      <c r="L139" s="156"/>
      <c r="M139" s="153"/>
      <c r="N139" s="260"/>
      <c r="O139" s="140"/>
      <c r="P139" s="140"/>
      <c r="Q139" s="80"/>
      <c r="R139" s="151"/>
      <c r="S139" s="153"/>
    </row>
    <row r="140" spans="1:19" x14ac:dyDescent="0.2">
      <c r="A140" s="571">
        <v>36</v>
      </c>
      <c r="B140" s="558" t="s">
        <v>433</v>
      </c>
      <c r="C140" s="140" t="s">
        <v>434</v>
      </c>
      <c r="D140" s="78">
        <v>9</v>
      </c>
      <c r="E140" s="543" t="s">
        <v>841</v>
      </c>
      <c r="F140" s="552" t="s">
        <v>246</v>
      </c>
      <c r="G140" s="63" t="s">
        <v>435</v>
      </c>
      <c r="H140" s="609" t="s">
        <v>1720</v>
      </c>
      <c r="I140" s="589">
        <v>41264</v>
      </c>
      <c r="J140" s="589">
        <v>41367</v>
      </c>
      <c r="K140" s="577">
        <v>41489</v>
      </c>
      <c r="L140" s="588">
        <v>27192</v>
      </c>
      <c r="M140" s="588">
        <v>21099.919999999998</v>
      </c>
      <c r="N140" s="721">
        <v>100</v>
      </c>
      <c r="O140" s="615" t="s">
        <v>710</v>
      </c>
      <c r="P140" s="580"/>
      <c r="Q140" s="571" t="s">
        <v>1721</v>
      </c>
      <c r="R140" s="543" t="s">
        <v>271</v>
      </c>
      <c r="S140" s="543"/>
    </row>
    <row r="141" spans="1:19" x14ac:dyDescent="0.2">
      <c r="A141" s="572"/>
      <c r="B141" s="613"/>
      <c r="C141" s="140" t="s">
        <v>438</v>
      </c>
      <c r="D141" s="78">
        <v>2.5</v>
      </c>
      <c r="E141" s="544"/>
      <c r="F141" s="553"/>
      <c r="G141" s="63" t="s">
        <v>436</v>
      </c>
      <c r="H141" s="584"/>
      <c r="I141" s="590"/>
      <c r="J141" s="590"/>
      <c r="K141" s="578"/>
      <c r="L141" s="586"/>
      <c r="M141" s="586"/>
      <c r="N141" s="722"/>
      <c r="O141" s="616"/>
      <c r="P141" s="581"/>
      <c r="Q141" s="572"/>
      <c r="R141" s="544"/>
      <c r="S141" s="544"/>
    </row>
    <row r="142" spans="1:19" x14ac:dyDescent="0.2">
      <c r="A142" s="572"/>
      <c r="B142" s="559"/>
      <c r="C142" s="140" t="s">
        <v>1719</v>
      </c>
      <c r="D142" s="78">
        <v>0.5</v>
      </c>
      <c r="E142" s="545"/>
      <c r="F142" s="554"/>
      <c r="G142" s="63" t="s">
        <v>437</v>
      </c>
      <c r="H142" s="585"/>
      <c r="I142" s="591"/>
      <c r="J142" s="590"/>
      <c r="K142" s="578"/>
      <c r="L142" s="587"/>
      <c r="M142" s="587"/>
      <c r="N142" s="722"/>
      <c r="O142" s="617"/>
      <c r="P142" s="581"/>
      <c r="Q142" s="573"/>
      <c r="R142" s="545" t="s">
        <v>150</v>
      </c>
      <c r="S142" s="544"/>
    </row>
    <row r="143" spans="1:19" s="105" customFormat="1" x14ac:dyDescent="0.2">
      <c r="A143" s="573"/>
      <c r="B143" s="131"/>
      <c r="C143" s="140"/>
      <c r="D143" s="83">
        <f>SUM(D140:D142)</f>
        <v>12</v>
      </c>
      <c r="E143" s="151"/>
      <c r="F143" s="24"/>
      <c r="G143" s="63"/>
      <c r="H143" s="163"/>
      <c r="I143" s="81"/>
      <c r="J143" s="81"/>
      <c r="K143" s="82"/>
      <c r="L143" s="156"/>
      <c r="M143" s="153"/>
      <c r="N143" s="260"/>
      <c r="O143" s="140"/>
      <c r="P143" s="140"/>
      <c r="Q143" s="80"/>
      <c r="R143" s="151"/>
      <c r="S143" s="153"/>
    </row>
    <row r="144" spans="1:19" x14ac:dyDescent="0.2">
      <c r="A144" s="572">
        <v>37</v>
      </c>
      <c r="B144" s="613" t="s">
        <v>1665</v>
      </c>
      <c r="C144" s="139" t="s">
        <v>1666</v>
      </c>
      <c r="D144" s="90">
        <v>4.8</v>
      </c>
      <c r="E144" s="543" t="s">
        <v>902</v>
      </c>
      <c r="F144" s="552" t="s">
        <v>246</v>
      </c>
      <c r="G144" s="63" t="s">
        <v>1667</v>
      </c>
      <c r="H144" s="592" t="s">
        <v>967</v>
      </c>
      <c r="I144" s="589">
        <v>41264</v>
      </c>
      <c r="J144" s="589">
        <v>41373</v>
      </c>
      <c r="K144" s="577">
        <v>41428</v>
      </c>
      <c r="L144" s="588">
        <v>40735</v>
      </c>
      <c r="M144" s="588"/>
      <c r="N144" s="716">
        <v>80</v>
      </c>
      <c r="O144" s="615" t="s">
        <v>1983</v>
      </c>
      <c r="P144" s="580"/>
      <c r="Q144" s="571" t="s">
        <v>968</v>
      </c>
      <c r="R144" s="543" t="s">
        <v>271</v>
      </c>
      <c r="S144" s="543"/>
    </row>
    <row r="145" spans="1:19" s="284" customFormat="1" x14ac:dyDescent="0.2">
      <c r="A145" s="572"/>
      <c r="B145" s="613"/>
      <c r="C145" s="258" t="s">
        <v>963</v>
      </c>
      <c r="D145" s="282">
        <v>2</v>
      </c>
      <c r="E145" s="544"/>
      <c r="F145" s="553"/>
      <c r="G145" s="283" t="s">
        <v>443</v>
      </c>
      <c r="H145" s="593"/>
      <c r="I145" s="590"/>
      <c r="J145" s="590"/>
      <c r="K145" s="578"/>
      <c r="L145" s="586"/>
      <c r="M145" s="586"/>
      <c r="N145" s="717"/>
      <c r="O145" s="616"/>
      <c r="P145" s="581"/>
      <c r="Q145" s="572"/>
      <c r="R145" s="544"/>
      <c r="S145" s="544"/>
    </row>
    <row r="146" spans="1:19" s="287" customFormat="1" x14ac:dyDescent="0.2">
      <c r="A146" s="572"/>
      <c r="B146" s="613"/>
      <c r="C146" s="228" t="s">
        <v>1202</v>
      </c>
      <c r="D146" s="288">
        <v>1</v>
      </c>
      <c r="E146" s="544"/>
      <c r="F146" s="553"/>
      <c r="G146" s="234" t="s">
        <v>1201</v>
      </c>
      <c r="H146" s="593"/>
      <c r="I146" s="590"/>
      <c r="J146" s="590"/>
      <c r="K146" s="578"/>
      <c r="L146" s="586"/>
      <c r="M146" s="586"/>
      <c r="N146" s="717"/>
      <c r="O146" s="616"/>
      <c r="P146" s="581"/>
      <c r="Q146" s="572"/>
      <c r="R146" s="544"/>
      <c r="S146" s="544"/>
    </row>
    <row r="147" spans="1:19" x14ac:dyDescent="0.2">
      <c r="A147" s="572"/>
      <c r="B147" s="613"/>
      <c r="C147" s="139" t="s">
        <v>964</v>
      </c>
      <c r="D147" s="78">
        <v>2</v>
      </c>
      <c r="E147" s="544"/>
      <c r="F147" s="553"/>
      <c r="G147" s="63" t="s">
        <v>1668</v>
      </c>
      <c r="H147" s="593"/>
      <c r="I147" s="590"/>
      <c r="J147" s="590"/>
      <c r="K147" s="578"/>
      <c r="L147" s="586"/>
      <c r="M147" s="586"/>
      <c r="N147" s="717"/>
      <c r="O147" s="616"/>
      <c r="P147" s="581"/>
      <c r="Q147" s="572"/>
      <c r="R147" s="544"/>
      <c r="S147" s="544"/>
    </row>
    <row r="148" spans="1:19" s="4" customFormat="1" x14ac:dyDescent="0.2">
      <c r="A148" s="572"/>
      <c r="B148" s="613"/>
      <c r="C148" s="268" t="s">
        <v>1592</v>
      </c>
      <c r="D148" s="271">
        <v>3.1</v>
      </c>
      <c r="E148" s="544"/>
      <c r="F148" s="553"/>
      <c r="G148" s="64" t="s">
        <v>1594</v>
      </c>
      <c r="H148" s="593"/>
      <c r="I148" s="590"/>
      <c r="J148" s="590"/>
      <c r="K148" s="578"/>
      <c r="L148" s="586"/>
      <c r="M148" s="586"/>
      <c r="N148" s="717"/>
      <c r="O148" s="616"/>
      <c r="P148" s="581"/>
      <c r="Q148" s="572"/>
      <c r="R148" s="544"/>
      <c r="S148" s="544"/>
    </row>
    <row r="149" spans="1:19" s="4" customFormat="1" x14ac:dyDescent="0.2">
      <c r="A149" s="572"/>
      <c r="B149" s="613"/>
      <c r="C149" s="268" t="s">
        <v>965</v>
      </c>
      <c r="D149" s="271">
        <v>3</v>
      </c>
      <c r="E149" s="544"/>
      <c r="F149" s="553"/>
      <c r="G149" s="64" t="s">
        <v>243</v>
      </c>
      <c r="H149" s="593"/>
      <c r="I149" s="590"/>
      <c r="J149" s="590"/>
      <c r="K149" s="578"/>
      <c r="L149" s="586"/>
      <c r="M149" s="586"/>
      <c r="N149" s="717"/>
      <c r="O149" s="616"/>
      <c r="P149" s="581"/>
      <c r="Q149" s="572"/>
      <c r="R149" s="544"/>
      <c r="S149" s="544"/>
    </row>
    <row r="150" spans="1:19" x14ac:dyDescent="0.2">
      <c r="A150" s="572"/>
      <c r="B150" s="613"/>
      <c r="C150" s="139" t="s">
        <v>966</v>
      </c>
      <c r="D150" s="78">
        <v>3.03</v>
      </c>
      <c r="E150" s="544"/>
      <c r="F150" s="553"/>
      <c r="G150" s="63" t="s">
        <v>962</v>
      </c>
      <c r="H150" s="593"/>
      <c r="I150" s="590"/>
      <c r="J150" s="590"/>
      <c r="K150" s="578"/>
      <c r="L150" s="587"/>
      <c r="M150" s="586"/>
      <c r="N150" s="717"/>
      <c r="O150" s="616"/>
      <c r="P150" s="581"/>
      <c r="Q150" s="572"/>
      <c r="R150" s="544"/>
      <c r="S150" s="544"/>
    </row>
    <row r="151" spans="1:19" x14ac:dyDescent="0.2">
      <c r="A151" s="573"/>
      <c r="B151" s="20"/>
      <c r="C151" s="140"/>
      <c r="D151" s="83">
        <f>SUM(D146:D150)+D144</f>
        <v>16.93</v>
      </c>
      <c r="E151" s="152"/>
      <c r="F151" s="24"/>
      <c r="G151" s="63"/>
      <c r="H151" s="160"/>
      <c r="I151" s="81"/>
      <c r="J151" s="81"/>
      <c r="K151" s="82"/>
      <c r="L151" s="165"/>
      <c r="M151" s="153"/>
      <c r="N151" s="260"/>
      <c r="O151" s="140"/>
      <c r="P151" s="140"/>
      <c r="Q151" s="80"/>
      <c r="R151" s="152"/>
      <c r="S151" s="153"/>
    </row>
    <row r="152" spans="1:19" x14ac:dyDescent="0.2">
      <c r="A152" s="572">
        <v>38</v>
      </c>
      <c r="B152" s="613" t="s">
        <v>970</v>
      </c>
      <c r="C152" s="139" t="s">
        <v>969</v>
      </c>
      <c r="D152" s="90">
        <v>6</v>
      </c>
      <c r="E152" s="543" t="s">
        <v>902</v>
      </c>
      <c r="F152" s="552" t="s">
        <v>246</v>
      </c>
      <c r="G152" s="63" t="s">
        <v>1383</v>
      </c>
      <c r="H152" s="592" t="s">
        <v>967</v>
      </c>
      <c r="I152" s="589">
        <v>41264</v>
      </c>
      <c r="J152" s="589">
        <v>41373</v>
      </c>
      <c r="K152" s="577">
        <v>41428</v>
      </c>
      <c r="L152" s="588">
        <v>29436</v>
      </c>
      <c r="M152" s="588"/>
      <c r="N152" s="716">
        <v>80</v>
      </c>
      <c r="O152" s="615" t="s">
        <v>1480</v>
      </c>
      <c r="P152" s="580"/>
      <c r="Q152" s="571" t="s">
        <v>425</v>
      </c>
      <c r="R152" s="543" t="s">
        <v>271</v>
      </c>
      <c r="S152" s="543"/>
    </row>
    <row r="153" spans="1:19" x14ac:dyDescent="0.2">
      <c r="A153" s="572"/>
      <c r="B153" s="613"/>
      <c r="C153" s="139" t="s">
        <v>973</v>
      </c>
      <c r="D153" s="90">
        <v>1.25</v>
      </c>
      <c r="E153" s="544"/>
      <c r="F153" s="553"/>
      <c r="G153" s="63" t="s">
        <v>971</v>
      </c>
      <c r="H153" s="593"/>
      <c r="I153" s="590"/>
      <c r="J153" s="590"/>
      <c r="K153" s="578"/>
      <c r="L153" s="586"/>
      <c r="M153" s="586"/>
      <c r="N153" s="717"/>
      <c r="O153" s="616"/>
      <c r="P153" s="581"/>
      <c r="Q153" s="572"/>
      <c r="R153" s="544"/>
      <c r="S153" s="544"/>
    </row>
    <row r="154" spans="1:19" x14ac:dyDescent="0.2">
      <c r="A154" s="572"/>
      <c r="B154" s="613"/>
      <c r="C154" s="139" t="s">
        <v>974</v>
      </c>
      <c r="D154" s="90">
        <v>1.2</v>
      </c>
      <c r="E154" s="544"/>
      <c r="F154" s="553"/>
      <c r="G154" s="63" t="s">
        <v>972</v>
      </c>
      <c r="H154" s="593"/>
      <c r="I154" s="590"/>
      <c r="J154" s="590"/>
      <c r="K154" s="578"/>
      <c r="L154" s="586"/>
      <c r="M154" s="586"/>
      <c r="N154" s="717"/>
      <c r="O154" s="616"/>
      <c r="P154" s="581"/>
      <c r="Q154" s="572"/>
      <c r="R154" s="544"/>
      <c r="S154" s="544"/>
    </row>
    <row r="155" spans="1:19" s="287" customFormat="1" x14ac:dyDescent="0.2">
      <c r="A155" s="572"/>
      <c r="B155" s="613"/>
      <c r="C155" s="228" t="s">
        <v>1203</v>
      </c>
      <c r="D155" s="286">
        <v>3</v>
      </c>
      <c r="E155" s="544"/>
      <c r="F155" s="553"/>
      <c r="G155" s="234" t="s">
        <v>1382</v>
      </c>
      <c r="H155" s="593"/>
      <c r="I155" s="590"/>
      <c r="J155" s="590"/>
      <c r="K155" s="578"/>
      <c r="L155" s="586"/>
      <c r="M155" s="586"/>
      <c r="N155" s="717"/>
      <c r="O155" s="616"/>
      <c r="P155" s="581"/>
      <c r="Q155" s="572"/>
      <c r="R155" s="544"/>
      <c r="S155" s="544"/>
    </row>
    <row r="156" spans="1:19" s="284" customFormat="1" x14ac:dyDescent="0.2">
      <c r="A156" s="572"/>
      <c r="B156" s="613"/>
      <c r="C156" s="258" t="s">
        <v>975</v>
      </c>
      <c r="D156" s="285">
        <v>3</v>
      </c>
      <c r="E156" s="544"/>
      <c r="F156" s="553"/>
      <c r="G156" s="283" t="s">
        <v>445</v>
      </c>
      <c r="H156" s="593"/>
      <c r="I156" s="590"/>
      <c r="J156" s="590"/>
      <c r="K156" s="578"/>
      <c r="L156" s="587"/>
      <c r="M156" s="586"/>
      <c r="N156" s="717"/>
      <c r="O156" s="616"/>
      <c r="P156" s="581"/>
      <c r="Q156" s="572"/>
      <c r="R156" s="544"/>
      <c r="S156" s="544"/>
    </row>
    <row r="157" spans="1:19" x14ac:dyDescent="0.2">
      <c r="A157" s="573"/>
      <c r="B157" s="20"/>
      <c r="C157" s="140"/>
      <c r="D157" s="83">
        <f>SUM(D152:D155)</f>
        <v>11.45</v>
      </c>
      <c r="E157" s="152"/>
      <c r="F157" s="24"/>
      <c r="G157" s="63"/>
      <c r="H157" s="160"/>
      <c r="I157" s="81"/>
      <c r="J157" s="81"/>
      <c r="K157" s="82"/>
      <c r="L157" s="165"/>
      <c r="M157" s="153"/>
      <c r="N157" s="260"/>
      <c r="O157" s="140"/>
      <c r="P157" s="140"/>
      <c r="Q157" s="80"/>
      <c r="R157" s="152"/>
      <c r="S157" s="153"/>
    </row>
    <row r="158" spans="1:19" x14ac:dyDescent="0.2">
      <c r="A158" s="572">
        <v>39</v>
      </c>
      <c r="B158" s="613" t="s">
        <v>1588</v>
      </c>
      <c r="C158" s="139" t="s">
        <v>1589</v>
      </c>
      <c r="D158" s="90">
        <v>5.6</v>
      </c>
      <c r="E158" s="543" t="s">
        <v>902</v>
      </c>
      <c r="F158" s="552" t="s">
        <v>246</v>
      </c>
      <c r="G158" s="64" t="s">
        <v>1593</v>
      </c>
      <c r="H158" s="592" t="s">
        <v>1595</v>
      </c>
      <c r="I158" s="589">
        <v>41264</v>
      </c>
      <c r="J158" s="589">
        <v>41403</v>
      </c>
      <c r="K158" s="577">
        <v>41526</v>
      </c>
      <c r="L158" s="588">
        <v>35526</v>
      </c>
      <c r="M158" s="588"/>
      <c r="N158" s="716"/>
      <c r="O158" s="615"/>
      <c r="P158" s="580"/>
      <c r="Q158" s="571" t="s">
        <v>425</v>
      </c>
      <c r="R158" s="543" t="s">
        <v>271</v>
      </c>
      <c r="S158" s="543"/>
    </row>
    <row r="159" spans="1:19" x14ac:dyDescent="0.2">
      <c r="A159" s="572"/>
      <c r="B159" s="613"/>
      <c r="C159" s="139" t="s">
        <v>1590</v>
      </c>
      <c r="D159" s="78">
        <v>2.6</v>
      </c>
      <c r="E159" s="544"/>
      <c r="F159" s="553"/>
      <c r="G159" s="64" t="s">
        <v>1912</v>
      </c>
      <c r="H159" s="593"/>
      <c r="I159" s="590"/>
      <c r="J159" s="590"/>
      <c r="K159" s="578"/>
      <c r="L159" s="586"/>
      <c r="M159" s="586"/>
      <c r="N159" s="717"/>
      <c r="O159" s="616"/>
      <c r="P159" s="581"/>
      <c r="Q159" s="572"/>
      <c r="R159" s="544"/>
      <c r="S159" s="544"/>
    </row>
    <row r="160" spans="1:19" x14ac:dyDescent="0.2">
      <c r="A160" s="572"/>
      <c r="B160" s="613"/>
      <c r="C160" s="139" t="s">
        <v>1591</v>
      </c>
      <c r="D160" s="78">
        <v>2.6</v>
      </c>
      <c r="E160" s="544"/>
      <c r="F160" s="553"/>
      <c r="G160" s="64" t="s">
        <v>1594</v>
      </c>
      <c r="H160" s="593"/>
      <c r="I160" s="590"/>
      <c r="J160" s="590"/>
      <c r="K160" s="578"/>
      <c r="L160" s="586"/>
      <c r="M160" s="586"/>
      <c r="N160" s="717"/>
      <c r="O160" s="616"/>
      <c r="P160" s="581"/>
      <c r="Q160" s="572"/>
      <c r="R160" s="544"/>
      <c r="S160" s="544"/>
    </row>
    <row r="161" spans="1:19" s="265" customFormat="1" x14ac:dyDescent="0.2">
      <c r="A161" s="572"/>
      <c r="B161" s="613"/>
      <c r="C161" s="272" t="s">
        <v>1592</v>
      </c>
      <c r="D161" s="266">
        <v>3</v>
      </c>
      <c r="E161" s="544"/>
      <c r="F161" s="553"/>
      <c r="G161" s="264" t="s">
        <v>1594</v>
      </c>
      <c r="H161" s="593"/>
      <c r="I161" s="590"/>
      <c r="J161" s="590"/>
      <c r="K161" s="578"/>
      <c r="L161" s="587"/>
      <c r="M161" s="586"/>
      <c r="N161" s="717"/>
      <c r="O161" s="616"/>
      <c r="P161" s="581"/>
      <c r="Q161" s="572"/>
      <c r="R161" s="544"/>
      <c r="S161" s="544"/>
    </row>
    <row r="162" spans="1:19" x14ac:dyDescent="0.2">
      <c r="A162" s="573"/>
      <c r="B162" s="20"/>
      <c r="C162" s="140"/>
      <c r="D162" s="83">
        <f>SUM(D158:D161)</f>
        <v>13.799999999999999</v>
      </c>
      <c r="E162" s="152"/>
      <c r="F162" s="24"/>
      <c r="G162" s="63"/>
      <c r="H162" s="160"/>
      <c r="I162" s="81"/>
      <c r="J162" s="81"/>
      <c r="K162" s="82"/>
      <c r="L162" s="165"/>
      <c r="M162" s="153"/>
      <c r="N162" s="260"/>
      <c r="O162" s="140"/>
      <c r="P162" s="140"/>
      <c r="Q162" s="80"/>
      <c r="R162" s="152"/>
      <c r="S162" s="153"/>
    </row>
    <row r="163" spans="1:19" s="4" customFormat="1" x14ac:dyDescent="0.2">
      <c r="A163" s="572">
        <v>40</v>
      </c>
      <c r="B163" s="613" t="s">
        <v>364</v>
      </c>
      <c r="C163" s="268" t="s">
        <v>416</v>
      </c>
      <c r="D163" s="269">
        <v>8.4</v>
      </c>
      <c r="E163" s="543" t="s">
        <v>902</v>
      </c>
      <c r="F163" s="552" t="s">
        <v>246</v>
      </c>
      <c r="G163" s="270" t="s">
        <v>1846</v>
      </c>
      <c r="H163" s="592" t="s">
        <v>417</v>
      </c>
      <c r="I163" s="589">
        <v>41264</v>
      </c>
      <c r="J163" s="589"/>
      <c r="K163" s="589"/>
      <c r="L163" s="588">
        <v>49598.400000000001</v>
      </c>
      <c r="M163" s="588"/>
      <c r="N163" s="721">
        <v>100</v>
      </c>
      <c r="O163" s="615" t="s">
        <v>270</v>
      </c>
      <c r="P163" s="580"/>
      <c r="Q163" s="571" t="s">
        <v>1761</v>
      </c>
      <c r="R163" s="543" t="s">
        <v>271</v>
      </c>
      <c r="S163" s="543"/>
    </row>
    <row r="164" spans="1:19" s="4" customFormat="1" x14ac:dyDescent="0.2">
      <c r="A164" s="572"/>
      <c r="B164" s="613"/>
      <c r="C164" s="268" t="s">
        <v>418</v>
      </c>
      <c r="D164" s="271">
        <v>3</v>
      </c>
      <c r="E164" s="544"/>
      <c r="F164" s="553"/>
      <c r="G164" s="64" t="s">
        <v>1912</v>
      </c>
      <c r="H164" s="593"/>
      <c r="I164" s="590"/>
      <c r="J164" s="590"/>
      <c r="K164" s="590"/>
      <c r="L164" s="586"/>
      <c r="M164" s="586"/>
      <c r="N164" s="722"/>
      <c r="O164" s="616"/>
      <c r="P164" s="581"/>
      <c r="Q164" s="572"/>
      <c r="R164" s="544"/>
      <c r="S164" s="544"/>
    </row>
    <row r="165" spans="1:19" x14ac:dyDescent="0.2">
      <c r="A165" s="572"/>
      <c r="B165" s="559"/>
      <c r="C165" s="140" t="s">
        <v>1596</v>
      </c>
      <c r="D165" s="78">
        <v>10.4</v>
      </c>
      <c r="E165" s="545"/>
      <c r="F165" s="554"/>
      <c r="G165" s="63" t="s">
        <v>872</v>
      </c>
      <c r="H165" s="593" t="s">
        <v>855</v>
      </c>
      <c r="I165" s="590"/>
      <c r="J165" s="590"/>
      <c r="K165" s="590"/>
      <c r="L165" s="587"/>
      <c r="M165" s="587"/>
      <c r="N165" s="722"/>
      <c r="O165" s="616"/>
      <c r="P165" s="581"/>
      <c r="Q165" s="572"/>
      <c r="R165" s="545" t="s">
        <v>150</v>
      </c>
      <c r="S165" s="544"/>
    </row>
    <row r="166" spans="1:19" x14ac:dyDescent="0.2">
      <c r="A166" s="573"/>
      <c r="B166" s="20"/>
      <c r="C166" s="140"/>
      <c r="D166" s="83">
        <f>SUM(D163:D165)</f>
        <v>21.8</v>
      </c>
      <c r="E166" s="152"/>
      <c r="F166" s="24"/>
      <c r="G166" s="63"/>
      <c r="H166" s="160"/>
      <c r="I166" s="81"/>
      <c r="J166" s="81"/>
      <c r="K166" s="82"/>
      <c r="L166" s="165"/>
      <c r="M166" s="153"/>
      <c r="N166" s="260"/>
      <c r="O166" s="140"/>
      <c r="P166" s="140"/>
      <c r="Q166" s="80"/>
      <c r="R166" s="152"/>
      <c r="S166" s="153"/>
    </row>
    <row r="167" spans="1:19" ht="15" customHeight="1" x14ac:dyDescent="0.2">
      <c r="A167" s="563">
        <v>41</v>
      </c>
      <c r="B167" s="558" t="s">
        <v>420</v>
      </c>
      <c r="C167" s="140" t="s">
        <v>419</v>
      </c>
      <c r="D167" s="78">
        <v>6</v>
      </c>
      <c r="E167" s="543" t="s">
        <v>685</v>
      </c>
      <c r="F167" s="552" t="s">
        <v>246</v>
      </c>
      <c r="G167" s="63" t="s">
        <v>180</v>
      </c>
      <c r="H167" s="592" t="s">
        <v>424</v>
      </c>
      <c r="I167" s="589">
        <v>41264</v>
      </c>
      <c r="J167" s="589">
        <v>41340</v>
      </c>
      <c r="K167" s="577">
        <v>41462</v>
      </c>
      <c r="L167" s="588">
        <v>42523.6</v>
      </c>
      <c r="M167" s="588">
        <v>29931.13</v>
      </c>
      <c r="N167" s="716">
        <v>100</v>
      </c>
      <c r="O167" s="615" t="s">
        <v>1824</v>
      </c>
      <c r="P167" s="603"/>
      <c r="Q167" s="571" t="s">
        <v>1762</v>
      </c>
      <c r="R167" s="543" t="s">
        <v>271</v>
      </c>
      <c r="S167" s="543"/>
    </row>
    <row r="168" spans="1:19" x14ac:dyDescent="0.2">
      <c r="A168" s="659"/>
      <c r="B168" s="613"/>
      <c r="C168" s="140" t="s">
        <v>421</v>
      </c>
      <c r="D168" s="78">
        <v>3.9</v>
      </c>
      <c r="E168" s="544"/>
      <c r="F168" s="553"/>
      <c r="G168" s="63" t="s">
        <v>2243</v>
      </c>
      <c r="H168" s="593"/>
      <c r="I168" s="590"/>
      <c r="J168" s="590"/>
      <c r="K168" s="578"/>
      <c r="L168" s="586"/>
      <c r="M168" s="586"/>
      <c r="N168" s="717"/>
      <c r="O168" s="616"/>
      <c r="P168" s="604"/>
      <c r="Q168" s="572"/>
      <c r="R168" s="544"/>
      <c r="S168" s="544"/>
    </row>
    <row r="169" spans="1:19" x14ac:dyDescent="0.2">
      <c r="A169" s="659"/>
      <c r="B169" s="613"/>
      <c r="C169" s="140" t="s">
        <v>422</v>
      </c>
      <c r="D169" s="78">
        <v>5</v>
      </c>
      <c r="E169" s="544"/>
      <c r="F169" s="553"/>
      <c r="G169" s="63" t="s">
        <v>181</v>
      </c>
      <c r="H169" s="593"/>
      <c r="I169" s="590"/>
      <c r="J169" s="590"/>
      <c r="K169" s="578"/>
      <c r="L169" s="586"/>
      <c r="M169" s="586"/>
      <c r="N169" s="717"/>
      <c r="O169" s="616"/>
      <c r="P169" s="604"/>
      <c r="Q169" s="572"/>
      <c r="R169" s="544"/>
      <c r="S169" s="544"/>
    </row>
    <row r="170" spans="1:19" x14ac:dyDescent="0.2">
      <c r="A170" s="659"/>
      <c r="B170" s="559"/>
      <c r="C170" s="140" t="s">
        <v>423</v>
      </c>
      <c r="D170" s="78">
        <v>3.2</v>
      </c>
      <c r="E170" s="545"/>
      <c r="F170" s="553"/>
      <c r="G170" s="63" t="s">
        <v>183</v>
      </c>
      <c r="H170" s="594"/>
      <c r="I170" s="590"/>
      <c r="J170" s="590"/>
      <c r="K170" s="578"/>
      <c r="L170" s="587"/>
      <c r="M170" s="586"/>
      <c r="N170" s="717"/>
      <c r="O170" s="617"/>
      <c r="P170" s="604"/>
      <c r="Q170" s="572"/>
      <c r="R170" s="545"/>
      <c r="S170" s="544"/>
    </row>
    <row r="171" spans="1:19" x14ac:dyDescent="0.2">
      <c r="A171" s="564"/>
      <c r="B171" s="138"/>
      <c r="C171" s="140"/>
      <c r="D171" s="83">
        <f>SUM(D167:D170)</f>
        <v>18.100000000000001</v>
      </c>
      <c r="E171" s="16"/>
      <c r="F171" s="24"/>
      <c r="G171" s="63"/>
      <c r="H171" s="161"/>
      <c r="I171" s="81"/>
      <c r="J171" s="81"/>
      <c r="K171" s="82"/>
      <c r="L171" s="165"/>
      <c r="M171" s="153"/>
      <c r="N171" s="260"/>
      <c r="O171" s="140"/>
      <c r="P171" s="140"/>
      <c r="Q171" s="80"/>
      <c r="R171" s="16"/>
      <c r="S171" s="153"/>
    </row>
    <row r="172" spans="1:19" ht="12.75" customHeight="1" x14ac:dyDescent="0.2">
      <c r="A172" s="571">
        <v>42</v>
      </c>
      <c r="B172" s="558" t="s">
        <v>1763</v>
      </c>
      <c r="C172" s="140" t="s">
        <v>1764</v>
      </c>
      <c r="D172" s="78">
        <v>8</v>
      </c>
      <c r="E172" s="543" t="s">
        <v>1521</v>
      </c>
      <c r="F172" s="552" t="s">
        <v>246</v>
      </c>
      <c r="G172" s="63" t="s">
        <v>1421</v>
      </c>
      <c r="H172" s="609" t="s">
        <v>1307</v>
      </c>
      <c r="I172" s="589">
        <v>41264</v>
      </c>
      <c r="J172" s="589">
        <v>41337</v>
      </c>
      <c r="K172" s="589">
        <v>41459</v>
      </c>
      <c r="L172" s="588">
        <v>49166</v>
      </c>
      <c r="M172" s="588">
        <v>49102.34</v>
      </c>
      <c r="N172" s="716">
        <v>100</v>
      </c>
      <c r="O172" s="580" t="s">
        <v>1238</v>
      </c>
      <c r="P172" s="580"/>
      <c r="Q172" s="571" t="s">
        <v>1308</v>
      </c>
      <c r="R172" s="543" t="s">
        <v>271</v>
      </c>
      <c r="S172" s="543"/>
    </row>
    <row r="173" spans="1:19" x14ac:dyDescent="0.2">
      <c r="A173" s="572"/>
      <c r="B173" s="613"/>
      <c r="C173" s="140" t="s">
        <v>1765</v>
      </c>
      <c r="D173" s="78">
        <v>1</v>
      </c>
      <c r="E173" s="544"/>
      <c r="F173" s="553"/>
      <c r="G173" s="63" t="s">
        <v>1423</v>
      </c>
      <c r="H173" s="584"/>
      <c r="I173" s="590"/>
      <c r="J173" s="590"/>
      <c r="K173" s="590"/>
      <c r="L173" s="586"/>
      <c r="M173" s="586"/>
      <c r="N173" s="717"/>
      <c r="O173" s="581"/>
      <c r="P173" s="581"/>
      <c r="Q173" s="572"/>
      <c r="R173" s="544"/>
      <c r="S173" s="544"/>
    </row>
    <row r="174" spans="1:19" x14ac:dyDescent="0.2">
      <c r="A174" s="572"/>
      <c r="B174" s="613"/>
      <c r="C174" s="140" t="s">
        <v>1766</v>
      </c>
      <c r="D174" s="78">
        <v>3</v>
      </c>
      <c r="E174" s="544"/>
      <c r="F174" s="553"/>
      <c r="G174" s="63" t="s">
        <v>1422</v>
      </c>
      <c r="H174" s="584"/>
      <c r="I174" s="590"/>
      <c r="J174" s="590"/>
      <c r="K174" s="590"/>
      <c r="L174" s="586"/>
      <c r="M174" s="586"/>
      <c r="N174" s="717"/>
      <c r="O174" s="581"/>
      <c r="P174" s="581"/>
      <c r="Q174" s="572"/>
      <c r="R174" s="544"/>
      <c r="S174" s="544"/>
    </row>
    <row r="175" spans="1:19" x14ac:dyDescent="0.2">
      <c r="A175" s="572"/>
      <c r="B175" s="613"/>
      <c r="C175" s="140" t="s">
        <v>1767</v>
      </c>
      <c r="D175" s="78">
        <v>1.4</v>
      </c>
      <c r="E175" s="544"/>
      <c r="F175" s="553"/>
      <c r="G175" s="63" t="s">
        <v>1935</v>
      </c>
      <c r="H175" s="584"/>
      <c r="I175" s="590"/>
      <c r="J175" s="590"/>
      <c r="K175" s="590"/>
      <c r="L175" s="586"/>
      <c r="M175" s="586"/>
      <c r="N175" s="717"/>
      <c r="O175" s="581"/>
      <c r="P175" s="581"/>
      <c r="Q175" s="572"/>
      <c r="R175" s="544"/>
      <c r="S175" s="544"/>
    </row>
    <row r="176" spans="1:19" x14ac:dyDescent="0.2">
      <c r="A176" s="572"/>
      <c r="B176" s="613"/>
      <c r="C176" s="140" t="s">
        <v>1304</v>
      </c>
      <c r="D176" s="78">
        <v>2</v>
      </c>
      <c r="E176" s="544"/>
      <c r="F176" s="553"/>
      <c r="G176" s="63" t="s">
        <v>801</v>
      </c>
      <c r="H176" s="584"/>
      <c r="I176" s="590"/>
      <c r="J176" s="590"/>
      <c r="K176" s="590"/>
      <c r="L176" s="586"/>
      <c r="M176" s="586"/>
      <c r="N176" s="717"/>
      <c r="O176" s="581"/>
      <c r="P176" s="581"/>
      <c r="Q176" s="572"/>
      <c r="R176" s="544"/>
      <c r="S176" s="544"/>
    </row>
    <row r="177" spans="1:19" x14ac:dyDescent="0.2">
      <c r="A177" s="572"/>
      <c r="B177" s="613"/>
      <c r="C177" s="140" t="s">
        <v>1305</v>
      </c>
      <c r="D177" s="78">
        <v>4</v>
      </c>
      <c r="E177" s="544"/>
      <c r="F177" s="553"/>
      <c r="G177" s="63" t="s">
        <v>802</v>
      </c>
      <c r="H177" s="584"/>
      <c r="I177" s="590"/>
      <c r="J177" s="590"/>
      <c r="K177" s="590"/>
      <c r="L177" s="586"/>
      <c r="M177" s="586"/>
      <c r="N177" s="717"/>
      <c r="O177" s="581"/>
      <c r="P177" s="581"/>
      <c r="Q177" s="572"/>
      <c r="R177" s="544"/>
      <c r="S177" s="544"/>
    </row>
    <row r="178" spans="1:19" x14ac:dyDescent="0.2">
      <c r="A178" s="572"/>
      <c r="B178" s="559"/>
      <c r="C178" s="140" t="s">
        <v>1306</v>
      </c>
      <c r="D178" s="78">
        <v>2</v>
      </c>
      <c r="E178" s="545"/>
      <c r="F178" s="554"/>
      <c r="G178" s="63" t="s">
        <v>1921</v>
      </c>
      <c r="H178" s="585"/>
      <c r="I178" s="591"/>
      <c r="J178" s="591"/>
      <c r="K178" s="591"/>
      <c r="L178" s="587"/>
      <c r="M178" s="587"/>
      <c r="N178" s="717"/>
      <c r="O178" s="605"/>
      <c r="P178" s="605"/>
      <c r="Q178" s="573"/>
      <c r="R178" s="545"/>
      <c r="S178" s="544"/>
    </row>
    <row r="179" spans="1:19" x14ac:dyDescent="0.2">
      <c r="A179" s="573"/>
      <c r="B179" s="138"/>
      <c r="C179" s="140"/>
      <c r="D179" s="83">
        <f>SUM(D172:D178)</f>
        <v>21.4</v>
      </c>
      <c r="E179" s="16"/>
      <c r="F179" s="24"/>
      <c r="G179" s="63"/>
      <c r="H179" s="161"/>
      <c r="I179" s="81"/>
      <c r="J179" s="81"/>
      <c r="K179" s="82"/>
      <c r="L179" s="165"/>
      <c r="M179" s="153"/>
      <c r="N179" s="260"/>
      <c r="O179" s="140"/>
      <c r="P179" s="140"/>
      <c r="Q179" s="80"/>
      <c r="R179" s="16"/>
      <c r="S179" s="153"/>
    </row>
    <row r="180" spans="1:19" s="292" customFormat="1" ht="77.25" customHeight="1" x14ac:dyDescent="0.2">
      <c r="A180" s="745">
        <v>43</v>
      </c>
      <c r="B180" s="289" t="s">
        <v>1309</v>
      </c>
      <c r="C180" s="368" t="s">
        <v>1309</v>
      </c>
      <c r="D180" s="406">
        <v>20.5</v>
      </c>
      <c r="E180" s="319" t="s">
        <v>1521</v>
      </c>
      <c r="F180" s="408" t="s">
        <v>246</v>
      </c>
      <c r="G180" s="370" t="s">
        <v>806</v>
      </c>
      <c r="H180" s="328" t="s">
        <v>1310</v>
      </c>
      <c r="I180" s="371">
        <v>41264</v>
      </c>
      <c r="J180" s="411"/>
      <c r="K180" s="371"/>
      <c r="L180" s="415">
        <v>45736</v>
      </c>
      <c r="M180" s="415"/>
      <c r="N180" s="372">
        <v>80</v>
      </c>
      <c r="O180" s="407" t="s">
        <v>2376</v>
      </c>
      <c r="P180" s="373"/>
      <c r="Q180" s="409" t="s">
        <v>1311</v>
      </c>
      <c r="R180" s="319" t="s">
        <v>271</v>
      </c>
      <c r="S180" s="372"/>
    </row>
    <row r="181" spans="1:19" s="349" customFormat="1" x14ac:dyDescent="0.2">
      <c r="A181" s="747"/>
      <c r="B181" s="386"/>
      <c r="C181" s="374"/>
      <c r="D181" s="396">
        <f>SUM(D180:D180)</f>
        <v>20.5</v>
      </c>
      <c r="E181" s="376"/>
      <c r="F181" s="313"/>
      <c r="G181" s="309"/>
      <c r="H181" s="385"/>
      <c r="I181" s="315"/>
      <c r="J181" s="315"/>
      <c r="K181" s="316"/>
      <c r="L181" s="359"/>
      <c r="M181" s="318"/>
      <c r="N181" s="318"/>
      <c r="O181" s="307"/>
      <c r="P181" s="307"/>
      <c r="Q181" s="364"/>
      <c r="R181" s="380"/>
      <c r="S181" s="318"/>
    </row>
    <row r="182" spans="1:19" s="349" customFormat="1" x14ac:dyDescent="0.2">
      <c r="A182" s="571">
        <v>44</v>
      </c>
      <c r="B182" s="753" t="s">
        <v>1869</v>
      </c>
      <c r="C182" s="307" t="s">
        <v>1312</v>
      </c>
      <c r="D182" s="354">
        <v>6</v>
      </c>
      <c r="E182" s="721" t="s">
        <v>1521</v>
      </c>
      <c r="F182" s="733" t="s">
        <v>246</v>
      </c>
      <c r="G182" s="309" t="s">
        <v>1883</v>
      </c>
      <c r="H182" s="763" t="s">
        <v>359</v>
      </c>
      <c r="I182" s="739">
        <v>41264</v>
      </c>
      <c r="J182" s="739"/>
      <c r="K182" s="739"/>
      <c r="L182" s="750">
        <v>27554.2</v>
      </c>
      <c r="M182" s="750"/>
      <c r="N182" s="721">
        <v>100</v>
      </c>
      <c r="O182" s="742" t="s">
        <v>2309</v>
      </c>
      <c r="P182" s="742"/>
      <c r="Q182" s="745" t="s">
        <v>1316</v>
      </c>
      <c r="R182" s="721" t="s">
        <v>271</v>
      </c>
      <c r="S182" s="721"/>
    </row>
    <row r="183" spans="1:19" s="349" customFormat="1" x14ac:dyDescent="0.2">
      <c r="A183" s="572"/>
      <c r="B183" s="754"/>
      <c r="C183" s="307" t="s">
        <v>1313</v>
      </c>
      <c r="D183" s="308">
        <v>1.1000000000000001</v>
      </c>
      <c r="E183" s="722"/>
      <c r="F183" s="734"/>
      <c r="G183" s="309" t="s">
        <v>1885</v>
      </c>
      <c r="H183" s="764"/>
      <c r="I183" s="740"/>
      <c r="J183" s="740"/>
      <c r="K183" s="740"/>
      <c r="L183" s="751"/>
      <c r="M183" s="751"/>
      <c r="N183" s="722"/>
      <c r="O183" s="743"/>
      <c r="P183" s="743"/>
      <c r="Q183" s="746"/>
      <c r="R183" s="722"/>
      <c r="S183" s="722"/>
    </row>
    <row r="184" spans="1:19" s="349" customFormat="1" x14ac:dyDescent="0.2">
      <c r="A184" s="572"/>
      <c r="B184" s="754"/>
      <c r="C184" s="307" t="s">
        <v>1314</v>
      </c>
      <c r="D184" s="308">
        <v>0.7</v>
      </c>
      <c r="E184" s="722"/>
      <c r="F184" s="734"/>
      <c r="G184" s="309" t="s">
        <v>1886</v>
      </c>
      <c r="H184" s="764"/>
      <c r="I184" s="740"/>
      <c r="J184" s="740"/>
      <c r="K184" s="740"/>
      <c r="L184" s="751"/>
      <c r="M184" s="751"/>
      <c r="N184" s="722"/>
      <c r="O184" s="743"/>
      <c r="P184" s="743"/>
      <c r="Q184" s="746"/>
      <c r="R184" s="722"/>
      <c r="S184" s="722"/>
    </row>
    <row r="185" spans="1:19" s="349" customFormat="1" x14ac:dyDescent="0.2">
      <c r="A185" s="572"/>
      <c r="B185" s="754"/>
      <c r="C185" s="307" t="s">
        <v>1315</v>
      </c>
      <c r="D185" s="308">
        <v>0.9</v>
      </c>
      <c r="E185" s="722"/>
      <c r="F185" s="734"/>
      <c r="G185" s="309" t="s">
        <v>1887</v>
      </c>
      <c r="H185" s="764"/>
      <c r="I185" s="740"/>
      <c r="J185" s="740"/>
      <c r="K185" s="740"/>
      <c r="L185" s="751"/>
      <c r="M185" s="751"/>
      <c r="N185" s="722"/>
      <c r="O185" s="743"/>
      <c r="P185" s="743"/>
      <c r="Q185" s="746"/>
      <c r="R185" s="722"/>
      <c r="S185" s="722"/>
    </row>
    <row r="186" spans="1:19" s="349" customFormat="1" x14ac:dyDescent="0.2">
      <c r="A186" s="572"/>
      <c r="B186" s="762"/>
      <c r="C186" s="307" t="s">
        <v>1760</v>
      </c>
      <c r="D186" s="308">
        <v>3.4</v>
      </c>
      <c r="E186" s="732"/>
      <c r="F186" s="735"/>
      <c r="G186" s="309" t="s">
        <v>1884</v>
      </c>
      <c r="H186" s="765"/>
      <c r="I186" s="741"/>
      <c r="J186" s="741"/>
      <c r="K186" s="741"/>
      <c r="L186" s="755"/>
      <c r="M186" s="755"/>
      <c r="N186" s="722"/>
      <c r="O186" s="744"/>
      <c r="P186" s="743"/>
      <c r="Q186" s="747"/>
      <c r="R186" s="732" t="s">
        <v>150</v>
      </c>
      <c r="S186" s="722"/>
    </row>
    <row r="187" spans="1:19" x14ac:dyDescent="0.2">
      <c r="A187" s="573"/>
      <c r="B187" s="138"/>
      <c r="C187" s="140"/>
      <c r="D187" s="83">
        <f>SUM(D182:D186)</f>
        <v>12.1</v>
      </c>
      <c r="E187" s="16"/>
      <c r="F187" s="24"/>
      <c r="G187" s="63"/>
      <c r="H187" s="161"/>
      <c r="I187" s="81"/>
      <c r="J187" s="81"/>
      <c r="K187" s="82"/>
      <c r="L187" s="165"/>
      <c r="M187" s="153"/>
      <c r="N187" s="260"/>
      <c r="O187" s="140"/>
      <c r="P187" s="140"/>
      <c r="Q187" s="80"/>
      <c r="R187" s="16"/>
      <c r="S187" s="153"/>
    </row>
    <row r="188" spans="1:19" s="292" customFormat="1" x14ac:dyDescent="0.2">
      <c r="A188" s="779">
        <v>45</v>
      </c>
      <c r="B188" s="753" t="s">
        <v>1871</v>
      </c>
      <c r="C188" s="307" t="s">
        <v>1870</v>
      </c>
      <c r="D188" s="308">
        <v>14.4</v>
      </c>
      <c r="E188" s="721" t="s">
        <v>1521</v>
      </c>
      <c r="F188" s="733" t="s">
        <v>246</v>
      </c>
      <c r="G188" s="309" t="s">
        <v>1248</v>
      </c>
      <c r="H188" s="763" t="s">
        <v>2174</v>
      </c>
      <c r="I188" s="739">
        <v>41264</v>
      </c>
      <c r="J188" s="739">
        <v>41353</v>
      </c>
      <c r="K188" s="739">
        <v>41475</v>
      </c>
      <c r="L188" s="750">
        <v>40776</v>
      </c>
      <c r="M188" s="750">
        <v>40776</v>
      </c>
      <c r="N188" s="721">
        <v>100</v>
      </c>
      <c r="O188" s="748" t="s">
        <v>535</v>
      </c>
      <c r="P188" s="804"/>
      <c r="Q188" s="801" t="s">
        <v>1320</v>
      </c>
      <c r="R188" s="756" t="str">
        <f>R167</f>
        <v>GOG</v>
      </c>
      <c r="S188" s="756">
        <v>1</v>
      </c>
    </row>
    <row r="189" spans="1:19" s="292" customFormat="1" x14ac:dyDescent="0.2">
      <c r="A189" s="775"/>
      <c r="B189" s="754"/>
      <c r="C189" s="307" t="s">
        <v>1251</v>
      </c>
      <c r="D189" s="308">
        <v>3.4</v>
      </c>
      <c r="E189" s="722"/>
      <c r="F189" s="734"/>
      <c r="G189" s="309" t="s">
        <v>1249</v>
      </c>
      <c r="H189" s="764"/>
      <c r="I189" s="740"/>
      <c r="J189" s="740"/>
      <c r="K189" s="740"/>
      <c r="L189" s="751"/>
      <c r="M189" s="751"/>
      <c r="N189" s="722"/>
      <c r="O189" s="749"/>
      <c r="P189" s="805"/>
      <c r="Q189" s="802"/>
      <c r="R189" s="757"/>
      <c r="S189" s="757"/>
    </row>
    <row r="190" spans="1:19" s="292" customFormat="1" x14ac:dyDescent="0.2">
      <c r="A190" s="775"/>
      <c r="B190" s="762"/>
      <c r="C190" s="307" t="s">
        <v>1319</v>
      </c>
      <c r="D190" s="308">
        <v>0.4</v>
      </c>
      <c r="E190" s="732"/>
      <c r="F190" s="734"/>
      <c r="G190" s="309" t="s">
        <v>1250</v>
      </c>
      <c r="H190" s="765"/>
      <c r="I190" s="740"/>
      <c r="J190" s="740"/>
      <c r="K190" s="741"/>
      <c r="L190" s="755"/>
      <c r="M190" s="751"/>
      <c r="N190" s="722"/>
      <c r="O190" s="749"/>
      <c r="P190" s="805"/>
      <c r="Q190" s="802"/>
      <c r="R190" s="761" t="s">
        <v>150</v>
      </c>
      <c r="S190" s="757"/>
    </row>
    <row r="191" spans="1:19" x14ac:dyDescent="0.2">
      <c r="A191" s="776"/>
      <c r="B191" s="310"/>
      <c r="C191" s="307"/>
      <c r="D191" s="311">
        <f>SUM(D188:D190)</f>
        <v>18.2</v>
      </c>
      <c r="E191" s="312"/>
      <c r="F191" s="313"/>
      <c r="G191" s="309"/>
      <c r="H191" s="314"/>
      <c r="I191" s="315"/>
      <c r="J191" s="315"/>
      <c r="K191" s="316"/>
      <c r="L191" s="317"/>
      <c r="M191" s="318"/>
      <c r="N191" s="260"/>
      <c r="O191" s="140"/>
      <c r="P191" s="140"/>
      <c r="Q191" s="80"/>
      <c r="R191" s="16"/>
      <c r="S191" s="153"/>
    </row>
    <row r="192" spans="1:19" s="292" customFormat="1" x14ac:dyDescent="0.2">
      <c r="A192" s="571">
        <v>46</v>
      </c>
      <c r="B192" s="806" t="s">
        <v>1321</v>
      </c>
      <c r="C192" s="403" t="s">
        <v>1322</v>
      </c>
      <c r="D192" s="405">
        <v>10.7</v>
      </c>
      <c r="E192" s="756" t="s">
        <v>1521</v>
      </c>
      <c r="F192" s="777" t="s">
        <v>246</v>
      </c>
      <c r="G192" s="402" t="s">
        <v>1325</v>
      </c>
      <c r="H192" s="806" t="s">
        <v>160</v>
      </c>
      <c r="I192" s="766">
        <v>41264</v>
      </c>
      <c r="J192" s="772"/>
      <c r="K192" s="798"/>
      <c r="L192" s="795">
        <v>27456</v>
      </c>
      <c r="M192" s="795"/>
      <c r="N192" s="789">
        <v>90</v>
      </c>
      <c r="O192" s="792" t="s">
        <v>1983</v>
      </c>
      <c r="P192" s="792"/>
      <c r="Q192" s="801" t="s">
        <v>159</v>
      </c>
      <c r="R192" s="756" t="s">
        <v>271</v>
      </c>
      <c r="S192" s="789"/>
    </row>
    <row r="193" spans="1:19" s="292" customFormat="1" x14ac:dyDescent="0.2">
      <c r="A193" s="572"/>
      <c r="B193" s="774"/>
      <c r="C193" s="403" t="s">
        <v>1326</v>
      </c>
      <c r="D193" s="404">
        <v>0.2</v>
      </c>
      <c r="E193" s="757"/>
      <c r="F193" s="778"/>
      <c r="G193" s="402" t="s">
        <v>1323</v>
      </c>
      <c r="H193" s="774"/>
      <c r="I193" s="767"/>
      <c r="J193" s="773"/>
      <c r="K193" s="799"/>
      <c r="L193" s="796"/>
      <c r="M193" s="796"/>
      <c r="N193" s="790"/>
      <c r="O193" s="793"/>
      <c r="P193" s="793"/>
      <c r="Q193" s="802"/>
      <c r="R193" s="757"/>
      <c r="S193" s="790"/>
    </row>
    <row r="194" spans="1:19" s="292" customFormat="1" x14ac:dyDescent="0.2">
      <c r="A194" s="572"/>
      <c r="B194" s="807"/>
      <c r="C194" s="403" t="s">
        <v>1327</v>
      </c>
      <c r="D194" s="404">
        <v>1.3</v>
      </c>
      <c r="E194" s="761"/>
      <c r="F194" s="808"/>
      <c r="G194" s="402" t="s">
        <v>1324</v>
      </c>
      <c r="H194" s="807"/>
      <c r="I194" s="768"/>
      <c r="J194" s="788"/>
      <c r="K194" s="800"/>
      <c r="L194" s="797"/>
      <c r="M194" s="797"/>
      <c r="N194" s="791"/>
      <c r="O194" s="794"/>
      <c r="P194" s="794"/>
      <c r="Q194" s="803"/>
      <c r="R194" s="761"/>
      <c r="S194" s="791"/>
    </row>
    <row r="195" spans="1:19" x14ac:dyDescent="0.2">
      <c r="A195" s="573"/>
      <c r="B195" s="138"/>
      <c r="C195" s="140"/>
      <c r="D195" s="95">
        <f>SUM(D192:D194)</f>
        <v>12.2</v>
      </c>
      <c r="E195" s="16"/>
      <c r="F195" s="24"/>
      <c r="G195" s="63"/>
      <c r="H195" s="130"/>
      <c r="I195" s="81"/>
      <c r="J195" s="81"/>
      <c r="K195" s="82"/>
      <c r="L195" s="152"/>
      <c r="M195" s="153"/>
      <c r="N195" s="260"/>
      <c r="O195" s="140"/>
      <c r="P195" s="140"/>
      <c r="Q195" s="80"/>
      <c r="R195" s="16"/>
      <c r="S195" s="153"/>
    </row>
    <row r="196" spans="1:19" x14ac:dyDescent="0.2">
      <c r="A196" s="571">
        <v>47</v>
      </c>
      <c r="B196" s="558" t="s">
        <v>395</v>
      </c>
      <c r="C196" s="140" t="s">
        <v>394</v>
      </c>
      <c r="D196" s="90">
        <v>8.6999999999999993</v>
      </c>
      <c r="E196" s="543" t="s">
        <v>1521</v>
      </c>
      <c r="F196" s="552" t="s">
        <v>246</v>
      </c>
      <c r="G196" s="63" t="s">
        <v>1190</v>
      </c>
      <c r="H196" s="552" t="s">
        <v>2117</v>
      </c>
      <c r="I196" s="589">
        <v>41264</v>
      </c>
      <c r="J196" s="589">
        <v>41375</v>
      </c>
      <c r="K196" s="589">
        <v>41497</v>
      </c>
      <c r="L196" s="588">
        <v>34278.800000000003</v>
      </c>
      <c r="M196" s="588"/>
      <c r="N196" s="716"/>
      <c r="O196" s="580"/>
      <c r="P196" s="580"/>
      <c r="Q196" s="571" t="s">
        <v>398</v>
      </c>
      <c r="R196" s="543" t="s">
        <v>271</v>
      </c>
      <c r="S196" s="543"/>
    </row>
    <row r="197" spans="1:19" x14ac:dyDescent="0.2">
      <c r="A197" s="572"/>
      <c r="B197" s="613"/>
      <c r="C197" s="140" t="s">
        <v>396</v>
      </c>
      <c r="D197" s="78">
        <v>2.25</v>
      </c>
      <c r="E197" s="544"/>
      <c r="F197" s="553"/>
      <c r="G197" s="63" t="s">
        <v>1881</v>
      </c>
      <c r="H197" s="553"/>
      <c r="I197" s="590"/>
      <c r="J197" s="590"/>
      <c r="K197" s="590"/>
      <c r="L197" s="586"/>
      <c r="M197" s="586"/>
      <c r="N197" s="717"/>
      <c r="O197" s="581"/>
      <c r="P197" s="581"/>
      <c r="Q197" s="572"/>
      <c r="R197" s="544"/>
      <c r="S197" s="544"/>
    </row>
    <row r="198" spans="1:19" x14ac:dyDescent="0.2">
      <c r="A198" s="572"/>
      <c r="B198" s="559"/>
      <c r="C198" s="140" t="s">
        <v>397</v>
      </c>
      <c r="D198" s="78">
        <v>3.7</v>
      </c>
      <c r="E198" s="545"/>
      <c r="F198" s="554"/>
      <c r="G198" s="63" t="s">
        <v>1543</v>
      </c>
      <c r="H198" s="554"/>
      <c r="I198" s="591"/>
      <c r="J198" s="591"/>
      <c r="K198" s="591"/>
      <c r="L198" s="586"/>
      <c r="M198" s="586"/>
      <c r="N198" s="720"/>
      <c r="O198" s="581"/>
      <c r="P198" s="581"/>
      <c r="Q198" s="573"/>
      <c r="R198" s="545"/>
      <c r="S198" s="545"/>
    </row>
    <row r="199" spans="1:19" x14ac:dyDescent="0.2">
      <c r="A199" s="573"/>
      <c r="B199" s="138"/>
      <c r="C199" s="140"/>
      <c r="D199" s="95">
        <f>SUM(D196:D198)</f>
        <v>14.649999999999999</v>
      </c>
      <c r="E199" s="16"/>
      <c r="F199" s="24"/>
      <c r="G199" s="63"/>
      <c r="H199" s="132"/>
      <c r="I199" s="81"/>
      <c r="J199" s="81"/>
      <c r="K199" s="82"/>
      <c r="L199" s="152"/>
      <c r="M199" s="153"/>
      <c r="N199" s="260"/>
      <c r="O199" s="140"/>
      <c r="P199" s="140"/>
      <c r="Q199" s="80"/>
      <c r="R199" s="16"/>
      <c r="S199" s="153"/>
    </row>
    <row r="200" spans="1:19" ht="27" customHeight="1" thickBot="1" x14ac:dyDescent="0.25">
      <c r="A200" s="571">
        <v>48</v>
      </c>
      <c r="B200" s="20" t="s">
        <v>399</v>
      </c>
      <c r="C200" s="140" t="s">
        <v>399</v>
      </c>
      <c r="D200" s="96">
        <v>11.5</v>
      </c>
      <c r="E200" s="245" t="s">
        <v>400</v>
      </c>
      <c r="F200" s="129" t="s">
        <v>246</v>
      </c>
      <c r="G200" s="63" t="s">
        <v>401</v>
      </c>
      <c r="H200" s="18" t="s">
        <v>402</v>
      </c>
      <c r="I200" s="242">
        <v>41264</v>
      </c>
      <c r="J200" s="244"/>
      <c r="K200" s="242"/>
      <c r="L200" s="168">
        <v>26042</v>
      </c>
      <c r="M200" s="168"/>
      <c r="N200" s="263"/>
      <c r="O200" s="241"/>
      <c r="P200" s="240"/>
      <c r="Q200" s="66" t="s">
        <v>379</v>
      </c>
      <c r="R200" s="152" t="s">
        <v>271</v>
      </c>
      <c r="S200" s="243"/>
    </row>
    <row r="201" spans="1:19" ht="15.75" thickBot="1" x14ac:dyDescent="0.25">
      <c r="A201" s="573"/>
      <c r="B201" s="138"/>
      <c r="C201" s="140"/>
      <c r="D201" s="99">
        <f>SUM(D200:D200)</f>
        <v>11.5</v>
      </c>
      <c r="E201" s="16"/>
      <c r="F201" s="24"/>
      <c r="G201" s="63"/>
      <c r="H201" s="130"/>
      <c r="I201" s="81"/>
      <c r="J201" s="81"/>
      <c r="K201" s="82"/>
      <c r="L201" s="152"/>
      <c r="M201" s="153"/>
      <c r="N201" s="260"/>
      <c r="O201" s="140"/>
      <c r="P201" s="140"/>
      <c r="Q201" s="80"/>
      <c r="R201" s="16"/>
      <c r="S201" s="153"/>
    </row>
    <row r="202" spans="1:19" ht="15" customHeight="1" x14ac:dyDescent="0.2">
      <c r="A202" s="563">
        <v>49</v>
      </c>
      <c r="B202" s="558" t="s">
        <v>380</v>
      </c>
      <c r="C202" s="140" t="s">
        <v>381</v>
      </c>
      <c r="D202" s="90">
        <v>11</v>
      </c>
      <c r="E202" s="543" t="s">
        <v>383</v>
      </c>
      <c r="F202" s="552" t="s">
        <v>246</v>
      </c>
      <c r="G202" s="63" t="s">
        <v>382</v>
      </c>
      <c r="H202" s="609" t="s">
        <v>301</v>
      </c>
      <c r="I202" s="589">
        <v>41264</v>
      </c>
      <c r="J202" s="589">
        <v>41344</v>
      </c>
      <c r="K202" s="577">
        <v>41466</v>
      </c>
      <c r="L202" s="588">
        <v>49261</v>
      </c>
      <c r="M202" s="588"/>
      <c r="N202" s="721">
        <v>95</v>
      </c>
      <c r="O202" s="603" t="s">
        <v>270</v>
      </c>
      <c r="P202" s="603"/>
      <c r="Q202" s="571" t="s">
        <v>302</v>
      </c>
      <c r="R202" s="543" t="s">
        <v>271</v>
      </c>
      <c r="S202" s="543"/>
    </row>
    <row r="203" spans="1:19" x14ac:dyDescent="0.2">
      <c r="A203" s="659"/>
      <c r="B203" s="613"/>
      <c r="C203" s="140" t="s">
        <v>386</v>
      </c>
      <c r="D203" s="78">
        <v>3.9</v>
      </c>
      <c r="E203" s="544"/>
      <c r="F203" s="553"/>
      <c r="G203" s="63" t="s">
        <v>384</v>
      </c>
      <c r="H203" s="584"/>
      <c r="I203" s="590"/>
      <c r="J203" s="590"/>
      <c r="K203" s="578"/>
      <c r="L203" s="586"/>
      <c r="M203" s="586"/>
      <c r="N203" s="722"/>
      <c r="O203" s="604"/>
      <c r="P203" s="604"/>
      <c r="Q203" s="572"/>
      <c r="R203" s="544"/>
      <c r="S203" s="544"/>
    </row>
    <row r="204" spans="1:19" x14ac:dyDescent="0.2">
      <c r="A204" s="659"/>
      <c r="B204" s="613"/>
      <c r="C204" s="140" t="s">
        <v>387</v>
      </c>
      <c r="D204" s="91">
        <v>3</v>
      </c>
      <c r="E204" s="544"/>
      <c r="F204" s="553"/>
      <c r="G204" s="63" t="s">
        <v>385</v>
      </c>
      <c r="H204" s="584"/>
      <c r="I204" s="590"/>
      <c r="J204" s="590"/>
      <c r="K204" s="578"/>
      <c r="L204" s="586"/>
      <c r="M204" s="586"/>
      <c r="N204" s="722"/>
      <c r="O204" s="604"/>
      <c r="P204" s="604"/>
      <c r="Q204" s="572"/>
      <c r="R204" s="544"/>
      <c r="S204" s="544"/>
    </row>
    <row r="205" spans="1:19" x14ac:dyDescent="0.2">
      <c r="A205" s="659"/>
      <c r="B205" s="613"/>
      <c r="C205" s="140" t="s">
        <v>388</v>
      </c>
      <c r="D205" s="91">
        <v>1.6</v>
      </c>
      <c r="E205" s="544"/>
      <c r="F205" s="553"/>
      <c r="G205" s="63" t="s">
        <v>390</v>
      </c>
      <c r="H205" s="584"/>
      <c r="I205" s="590"/>
      <c r="J205" s="590"/>
      <c r="K205" s="578"/>
      <c r="L205" s="586"/>
      <c r="M205" s="586"/>
      <c r="N205" s="722"/>
      <c r="O205" s="604"/>
      <c r="P205" s="604"/>
      <c r="Q205" s="572"/>
      <c r="R205" s="544"/>
      <c r="S205" s="544"/>
    </row>
    <row r="206" spans="1:19" ht="15.75" thickBot="1" x14ac:dyDescent="0.25">
      <c r="A206" s="659"/>
      <c r="B206" s="559"/>
      <c r="C206" s="140" t="s">
        <v>389</v>
      </c>
      <c r="D206" s="91">
        <v>1.6</v>
      </c>
      <c r="E206" s="545"/>
      <c r="F206" s="553"/>
      <c r="G206" s="63" t="s">
        <v>391</v>
      </c>
      <c r="H206" s="585"/>
      <c r="I206" s="590"/>
      <c r="J206" s="590"/>
      <c r="K206" s="578"/>
      <c r="L206" s="587"/>
      <c r="M206" s="586"/>
      <c r="N206" s="722"/>
      <c r="O206" s="675"/>
      <c r="P206" s="604"/>
      <c r="Q206" s="572"/>
      <c r="R206" s="545" t="s">
        <v>150</v>
      </c>
      <c r="S206" s="544"/>
    </row>
    <row r="207" spans="1:19" s="105" customFormat="1" ht="15.75" thickBot="1" x14ac:dyDescent="0.25">
      <c r="A207" s="564"/>
      <c r="B207" s="131"/>
      <c r="C207" s="254"/>
      <c r="D207" s="94">
        <f>SUM(D202:D206)</f>
        <v>21.1</v>
      </c>
      <c r="E207" s="253"/>
      <c r="F207" s="24"/>
      <c r="G207" s="63"/>
      <c r="H207" s="163"/>
      <c r="I207" s="81"/>
      <c r="J207" s="81"/>
      <c r="K207" s="82"/>
      <c r="L207" s="156"/>
      <c r="M207" s="153"/>
      <c r="N207" s="260"/>
      <c r="O207" s="140"/>
      <c r="P207" s="140"/>
      <c r="Q207" s="80"/>
      <c r="R207" s="151"/>
      <c r="S207" s="153"/>
    </row>
    <row r="208" spans="1:19" x14ac:dyDescent="0.2">
      <c r="A208" s="563">
        <v>50</v>
      </c>
      <c r="B208" s="558" t="s">
        <v>303</v>
      </c>
      <c r="C208" s="140" t="s">
        <v>304</v>
      </c>
      <c r="D208" s="90">
        <v>5</v>
      </c>
      <c r="E208" s="543" t="s">
        <v>383</v>
      </c>
      <c r="F208" s="552" t="s">
        <v>246</v>
      </c>
      <c r="G208" s="63" t="s">
        <v>2079</v>
      </c>
      <c r="H208" s="609" t="s">
        <v>311</v>
      </c>
      <c r="I208" s="589">
        <v>41264</v>
      </c>
      <c r="J208" s="589">
        <v>41382</v>
      </c>
      <c r="K208" s="577">
        <v>41504</v>
      </c>
      <c r="L208" s="588">
        <v>35067.800000000003</v>
      </c>
      <c r="M208" s="588"/>
      <c r="N208" s="716"/>
      <c r="O208" s="690"/>
      <c r="P208" s="603"/>
      <c r="Q208" s="571" t="s">
        <v>312</v>
      </c>
      <c r="R208" s="543" t="s">
        <v>271</v>
      </c>
      <c r="S208" s="543"/>
    </row>
    <row r="209" spans="1:19" x14ac:dyDescent="0.2">
      <c r="A209" s="659"/>
      <c r="B209" s="613"/>
      <c r="C209" s="140" t="s">
        <v>308</v>
      </c>
      <c r="D209" s="91">
        <v>4</v>
      </c>
      <c r="E209" s="544"/>
      <c r="F209" s="553"/>
      <c r="G209" s="63" t="s">
        <v>305</v>
      </c>
      <c r="H209" s="584"/>
      <c r="I209" s="590"/>
      <c r="J209" s="590"/>
      <c r="K209" s="578"/>
      <c r="L209" s="586"/>
      <c r="M209" s="586"/>
      <c r="N209" s="717"/>
      <c r="O209" s="691"/>
      <c r="P209" s="604"/>
      <c r="Q209" s="572"/>
      <c r="R209" s="544"/>
      <c r="S209" s="544"/>
    </row>
    <row r="210" spans="1:19" x14ac:dyDescent="0.2">
      <c r="A210" s="659"/>
      <c r="B210" s="613"/>
      <c r="C210" s="140" t="s">
        <v>309</v>
      </c>
      <c r="D210" s="91">
        <v>2</v>
      </c>
      <c r="E210" s="544"/>
      <c r="F210" s="553"/>
      <c r="G210" s="63" t="s">
        <v>306</v>
      </c>
      <c r="H210" s="584"/>
      <c r="I210" s="590"/>
      <c r="J210" s="590"/>
      <c r="K210" s="578"/>
      <c r="L210" s="586"/>
      <c r="M210" s="586"/>
      <c r="N210" s="717"/>
      <c r="O210" s="691"/>
      <c r="P210" s="604"/>
      <c r="Q210" s="572"/>
      <c r="R210" s="544"/>
      <c r="S210" s="544"/>
    </row>
    <row r="211" spans="1:19" ht="15.75" thickBot="1" x14ac:dyDescent="0.25">
      <c r="A211" s="659"/>
      <c r="B211" s="559"/>
      <c r="C211" s="140" t="s">
        <v>310</v>
      </c>
      <c r="D211" s="91">
        <v>3.4</v>
      </c>
      <c r="E211" s="545"/>
      <c r="F211" s="553"/>
      <c r="G211" s="63" t="s">
        <v>307</v>
      </c>
      <c r="H211" s="585"/>
      <c r="I211" s="590"/>
      <c r="J211" s="590"/>
      <c r="K211" s="578"/>
      <c r="L211" s="587"/>
      <c r="M211" s="586"/>
      <c r="N211" s="717"/>
      <c r="O211" s="691"/>
      <c r="P211" s="604"/>
      <c r="Q211" s="572"/>
      <c r="R211" s="545" t="s">
        <v>150</v>
      </c>
      <c r="S211" s="544"/>
    </row>
    <row r="212" spans="1:19" s="105" customFormat="1" ht="15.75" thickBot="1" x14ac:dyDescent="0.25">
      <c r="A212" s="564"/>
      <c r="B212" s="131"/>
      <c r="C212" s="254"/>
      <c r="D212" s="94">
        <f>SUM(D208:D211)</f>
        <v>14.4</v>
      </c>
      <c r="E212" s="253"/>
      <c r="F212" s="24"/>
      <c r="G212" s="63"/>
      <c r="H212" s="163"/>
      <c r="I212" s="81"/>
      <c r="J212" s="81"/>
      <c r="K212" s="82"/>
      <c r="L212" s="156"/>
      <c r="M212" s="153"/>
      <c r="N212" s="260"/>
      <c r="O212" s="140"/>
      <c r="P212" s="140"/>
      <c r="Q212" s="80"/>
      <c r="R212" s="151"/>
      <c r="S212" s="153"/>
    </row>
    <row r="213" spans="1:19" x14ac:dyDescent="0.2">
      <c r="A213" s="563">
        <v>51</v>
      </c>
      <c r="B213" s="558" t="s">
        <v>314</v>
      </c>
      <c r="C213" s="140" t="s">
        <v>313</v>
      </c>
      <c r="D213" s="90">
        <v>5</v>
      </c>
      <c r="E213" s="543" t="s">
        <v>285</v>
      </c>
      <c r="F213" s="552" t="s">
        <v>246</v>
      </c>
      <c r="G213" s="63" t="s">
        <v>2146</v>
      </c>
      <c r="H213" s="609" t="s">
        <v>194</v>
      </c>
      <c r="I213" s="589">
        <v>41264</v>
      </c>
      <c r="J213" s="589"/>
      <c r="K213" s="577"/>
      <c r="L213" s="588">
        <v>36012.199999999997</v>
      </c>
      <c r="M213" s="588"/>
      <c r="N213" s="716"/>
      <c r="O213" s="690"/>
      <c r="P213" s="603"/>
      <c r="Q213" s="571" t="s">
        <v>195</v>
      </c>
      <c r="R213" s="543" t="s">
        <v>271</v>
      </c>
      <c r="S213" s="543"/>
    </row>
    <row r="214" spans="1:19" x14ac:dyDescent="0.2">
      <c r="A214" s="659"/>
      <c r="B214" s="613"/>
      <c r="C214" s="140" t="s">
        <v>315</v>
      </c>
      <c r="D214" s="91">
        <v>2</v>
      </c>
      <c r="E214" s="544"/>
      <c r="F214" s="553"/>
      <c r="G214" s="63" t="s">
        <v>2147</v>
      </c>
      <c r="H214" s="584"/>
      <c r="I214" s="590"/>
      <c r="J214" s="590"/>
      <c r="K214" s="578"/>
      <c r="L214" s="586"/>
      <c r="M214" s="586"/>
      <c r="N214" s="717"/>
      <c r="O214" s="691"/>
      <c r="P214" s="604"/>
      <c r="Q214" s="572"/>
      <c r="R214" s="544"/>
      <c r="S214" s="544"/>
    </row>
    <row r="215" spans="1:19" x14ac:dyDescent="0.2">
      <c r="A215" s="659"/>
      <c r="B215" s="613"/>
      <c r="C215" s="140" t="s">
        <v>192</v>
      </c>
      <c r="D215" s="91">
        <v>3</v>
      </c>
      <c r="E215" s="544"/>
      <c r="F215" s="553"/>
      <c r="G215" s="63" t="s">
        <v>2148</v>
      </c>
      <c r="H215" s="584"/>
      <c r="I215" s="590"/>
      <c r="J215" s="590"/>
      <c r="K215" s="578"/>
      <c r="L215" s="586"/>
      <c r="M215" s="586"/>
      <c r="N215" s="717"/>
      <c r="O215" s="691"/>
      <c r="P215" s="604"/>
      <c r="Q215" s="572"/>
      <c r="R215" s="544"/>
      <c r="S215" s="544"/>
    </row>
    <row r="216" spans="1:19" ht="15.75" thickBot="1" x14ac:dyDescent="0.25">
      <c r="A216" s="659"/>
      <c r="B216" s="559"/>
      <c r="C216" s="140" t="s">
        <v>193</v>
      </c>
      <c r="D216" s="91">
        <v>4.7</v>
      </c>
      <c r="E216" s="545"/>
      <c r="F216" s="553"/>
      <c r="G216" s="63" t="s">
        <v>2149</v>
      </c>
      <c r="H216" s="585"/>
      <c r="I216" s="590"/>
      <c r="J216" s="590"/>
      <c r="K216" s="578"/>
      <c r="L216" s="587"/>
      <c r="M216" s="586"/>
      <c r="N216" s="717"/>
      <c r="O216" s="691"/>
      <c r="P216" s="604"/>
      <c r="Q216" s="572"/>
      <c r="R216" s="545" t="s">
        <v>150</v>
      </c>
      <c r="S216" s="544"/>
    </row>
    <row r="217" spans="1:19" s="105" customFormat="1" ht="15.75" thickBot="1" x14ac:dyDescent="0.25">
      <c r="A217" s="564"/>
      <c r="B217" s="131"/>
      <c r="C217" s="254"/>
      <c r="D217" s="94">
        <f>SUM(D213:D216)</f>
        <v>14.7</v>
      </c>
      <c r="E217" s="253"/>
      <c r="F217" s="24"/>
      <c r="G217" s="63"/>
      <c r="H217" s="163"/>
      <c r="I217" s="81"/>
      <c r="J217" s="81"/>
      <c r="K217" s="82"/>
      <c r="L217" s="156"/>
      <c r="M217" s="153"/>
      <c r="N217" s="260"/>
      <c r="O217" s="140"/>
      <c r="P217" s="140"/>
      <c r="Q217" s="80"/>
      <c r="R217" s="151"/>
      <c r="S217" s="153"/>
    </row>
    <row r="218" spans="1:19" s="105" customFormat="1" ht="15" customHeight="1" x14ac:dyDescent="0.2">
      <c r="A218" s="563">
        <v>52</v>
      </c>
      <c r="B218" s="20" t="s">
        <v>823</v>
      </c>
      <c r="C218" s="140" t="s">
        <v>823</v>
      </c>
      <c r="D218" s="90">
        <v>13</v>
      </c>
      <c r="E218" s="152" t="s">
        <v>285</v>
      </c>
      <c r="F218" s="24" t="s">
        <v>246</v>
      </c>
      <c r="G218" s="63" t="s">
        <v>824</v>
      </c>
      <c r="H218" s="160" t="s">
        <v>825</v>
      </c>
      <c r="I218" s="104">
        <v>41264</v>
      </c>
      <c r="J218" s="104"/>
      <c r="K218" s="106"/>
      <c r="L218" s="167">
        <v>29295</v>
      </c>
      <c r="M218" s="167"/>
      <c r="N218" s="261"/>
      <c r="O218" s="274"/>
      <c r="P218" s="275"/>
      <c r="Q218" s="80" t="s">
        <v>826</v>
      </c>
      <c r="R218" s="152" t="s">
        <v>271</v>
      </c>
      <c r="S218" s="152"/>
    </row>
    <row r="219" spans="1:19" s="105" customFormat="1" ht="15.75" thickBot="1" x14ac:dyDescent="0.25">
      <c r="A219" s="564"/>
      <c r="B219" s="131"/>
      <c r="C219" s="252"/>
      <c r="D219" s="273">
        <f>SUM(D218:D218)</f>
        <v>13</v>
      </c>
      <c r="E219" s="253"/>
      <c r="F219" s="36"/>
      <c r="G219" s="75"/>
      <c r="H219" s="163"/>
      <c r="I219" s="76"/>
      <c r="J219" s="76"/>
      <c r="K219" s="77"/>
      <c r="L219" s="156"/>
      <c r="M219" s="149"/>
      <c r="N219" s="262"/>
      <c r="O219" s="139"/>
      <c r="P219" s="139"/>
      <c r="Q219" s="67"/>
      <c r="R219" s="151"/>
      <c r="S219" s="149"/>
    </row>
    <row r="220" spans="1:19" x14ac:dyDescent="0.2">
      <c r="A220" s="563">
        <v>53</v>
      </c>
      <c r="B220" s="558" t="s">
        <v>197</v>
      </c>
      <c r="C220" s="140" t="s">
        <v>196</v>
      </c>
      <c r="D220" s="90">
        <v>8</v>
      </c>
      <c r="E220" s="543" t="s">
        <v>1676</v>
      </c>
      <c r="F220" s="552" t="s">
        <v>246</v>
      </c>
      <c r="G220" s="63" t="s">
        <v>199</v>
      </c>
      <c r="H220" s="660" t="s">
        <v>357</v>
      </c>
      <c r="I220" s="589">
        <v>41264</v>
      </c>
      <c r="J220" s="589"/>
      <c r="K220" s="577"/>
      <c r="L220" s="588">
        <v>34554</v>
      </c>
      <c r="M220" s="588"/>
      <c r="N220" s="716"/>
      <c r="O220" s="603"/>
      <c r="P220" s="603"/>
      <c r="Q220" s="571" t="s">
        <v>201</v>
      </c>
      <c r="R220" s="543" t="s">
        <v>271</v>
      </c>
      <c r="S220" s="600"/>
    </row>
    <row r="221" spans="1:19" ht="15.75" thickBot="1" x14ac:dyDescent="0.25">
      <c r="A221" s="659"/>
      <c r="B221" s="613"/>
      <c r="C221" s="140" t="s">
        <v>198</v>
      </c>
      <c r="D221" s="91">
        <v>5.2</v>
      </c>
      <c r="E221" s="545"/>
      <c r="F221" s="554"/>
      <c r="G221" s="63" t="s">
        <v>200</v>
      </c>
      <c r="H221" s="661"/>
      <c r="I221" s="590"/>
      <c r="J221" s="590"/>
      <c r="K221" s="579"/>
      <c r="L221" s="587"/>
      <c r="M221" s="587"/>
      <c r="N221" s="717"/>
      <c r="O221" s="604"/>
      <c r="P221" s="604"/>
      <c r="Q221" s="573"/>
      <c r="R221" s="545" t="s">
        <v>150</v>
      </c>
      <c r="S221" s="602"/>
    </row>
    <row r="222" spans="1:19" ht="15.75" thickBot="1" x14ac:dyDescent="0.25">
      <c r="A222" s="564"/>
      <c r="B222" s="20"/>
      <c r="C222" s="254"/>
      <c r="D222" s="94">
        <f>SUM(D220:D221)</f>
        <v>13.2</v>
      </c>
      <c r="E222" s="255"/>
      <c r="F222" s="24"/>
      <c r="G222" s="63"/>
      <c r="H222" s="161"/>
      <c r="I222" s="81"/>
      <c r="J222" s="81"/>
      <c r="K222" s="86"/>
      <c r="L222" s="165"/>
      <c r="M222" s="153"/>
      <c r="N222" s="260"/>
      <c r="O222" s="140"/>
      <c r="P222" s="140"/>
      <c r="Q222" s="80"/>
      <c r="R222" s="16"/>
      <c r="S222" s="153"/>
    </row>
    <row r="223" spans="1:19" x14ac:dyDescent="0.2">
      <c r="A223" s="563">
        <v>54</v>
      </c>
      <c r="B223" s="558" t="s">
        <v>202</v>
      </c>
      <c r="C223" s="140" t="s">
        <v>203</v>
      </c>
      <c r="D223" s="90">
        <v>4.7</v>
      </c>
      <c r="E223" s="543" t="s">
        <v>1676</v>
      </c>
      <c r="F223" s="552" t="s">
        <v>246</v>
      </c>
      <c r="G223" s="63" t="s">
        <v>207</v>
      </c>
      <c r="H223" s="609" t="s">
        <v>630</v>
      </c>
      <c r="I223" s="589">
        <v>41264</v>
      </c>
      <c r="J223" s="589">
        <v>41340</v>
      </c>
      <c r="K223" s="577">
        <v>41462</v>
      </c>
      <c r="L223" s="588">
        <v>35873</v>
      </c>
      <c r="M223" s="588">
        <v>22076.17</v>
      </c>
      <c r="N223" s="721">
        <v>100</v>
      </c>
      <c r="O223" s="690" t="s">
        <v>236</v>
      </c>
      <c r="P223" s="603"/>
      <c r="Q223" s="571" t="s">
        <v>211</v>
      </c>
      <c r="R223" s="543" t="s">
        <v>271</v>
      </c>
      <c r="S223" s="543"/>
    </row>
    <row r="224" spans="1:19" x14ac:dyDescent="0.2">
      <c r="A224" s="659"/>
      <c r="B224" s="613"/>
      <c r="C224" s="140" t="s">
        <v>204</v>
      </c>
      <c r="D224" s="91">
        <v>2</v>
      </c>
      <c r="E224" s="544"/>
      <c r="F224" s="553"/>
      <c r="G224" s="63" t="s">
        <v>208</v>
      </c>
      <c r="H224" s="584"/>
      <c r="I224" s="590"/>
      <c r="J224" s="590"/>
      <c r="K224" s="578"/>
      <c r="L224" s="586"/>
      <c r="M224" s="586"/>
      <c r="N224" s="722"/>
      <c r="O224" s="691"/>
      <c r="P224" s="604"/>
      <c r="Q224" s="572"/>
      <c r="R224" s="544"/>
      <c r="S224" s="544"/>
    </row>
    <row r="225" spans="1:19" x14ac:dyDescent="0.2">
      <c r="A225" s="659"/>
      <c r="B225" s="613"/>
      <c r="C225" s="140" t="s">
        <v>205</v>
      </c>
      <c r="D225" s="91">
        <v>4.2</v>
      </c>
      <c r="E225" s="544"/>
      <c r="F225" s="553"/>
      <c r="G225" s="63" t="s">
        <v>209</v>
      </c>
      <c r="H225" s="584"/>
      <c r="I225" s="590"/>
      <c r="J225" s="590"/>
      <c r="K225" s="578"/>
      <c r="L225" s="586"/>
      <c r="M225" s="586"/>
      <c r="N225" s="722"/>
      <c r="O225" s="691"/>
      <c r="P225" s="604"/>
      <c r="Q225" s="572"/>
      <c r="R225" s="544"/>
      <c r="S225" s="544"/>
    </row>
    <row r="226" spans="1:19" ht="15.75" thickBot="1" x14ac:dyDescent="0.25">
      <c r="A226" s="659"/>
      <c r="B226" s="559"/>
      <c r="C226" s="140" t="s">
        <v>206</v>
      </c>
      <c r="D226" s="91">
        <v>3</v>
      </c>
      <c r="E226" s="545"/>
      <c r="F226" s="553"/>
      <c r="G226" s="63" t="s">
        <v>210</v>
      </c>
      <c r="H226" s="585"/>
      <c r="I226" s="590"/>
      <c r="J226" s="590"/>
      <c r="K226" s="578"/>
      <c r="L226" s="587"/>
      <c r="M226" s="586"/>
      <c r="N226" s="722"/>
      <c r="O226" s="691"/>
      <c r="P226" s="604"/>
      <c r="Q226" s="572"/>
      <c r="R226" s="545" t="s">
        <v>150</v>
      </c>
      <c r="S226" s="544"/>
    </row>
    <row r="227" spans="1:19" s="105" customFormat="1" ht="15.75" thickBot="1" x14ac:dyDescent="0.25">
      <c r="A227" s="564"/>
      <c r="B227" s="131"/>
      <c r="C227" s="254"/>
      <c r="D227" s="94">
        <f>SUM(D223:D226)</f>
        <v>13.9</v>
      </c>
      <c r="E227" s="253"/>
      <c r="F227" s="24"/>
      <c r="G227" s="63"/>
      <c r="H227" s="163"/>
      <c r="I227" s="81"/>
      <c r="J227" s="81"/>
      <c r="K227" s="82"/>
      <c r="L227" s="156"/>
      <c r="M227" s="153"/>
      <c r="N227" s="260"/>
      <c r="O227" s="140"/>
      <c r="P227" s="140"/>
      <c r="Q227" s="80"/>
      <c r="R227" s="151"/>
      <c r="S227" s="153"/>
    </row>
    <row r="228" spans="1:19" x14ac:dyDescent="0.2">
      <c r="A228" s="563">
        <v>55</v>
      </c>
      <c r="B228" s="558" t="s">
        <v>828</v>
      </c>
      <c r="C228" s="140" t="s">
        <v>829</v>
      </c>
      <c r="D228" s="90">
        <v>12</v>
      </c>
      <c r="E228" s="543" t="s">
        <v>1676</v>
      </c>
      <c r="F228" s="552" t="s">
        <v>246</v>
      </c>
      <c r="G228" s="63" t="s">
        <v>831</v>
      </c>
      <c r="H228" s="660" t="s">
        <v>833</v>
      </c>
      <c r="I228" s="589">
        <v>41264</v>
      </c>
      <c r="J228" s="589"/>
      <c r="K228" s="577"/>
      <c r="L228" s="588">
        <v>35926</v>
      </c>
      <c r="M228" s="588"/>
      <c r="N228" s="716"/>
      <c r="O228" s="603"/>
      <c r="P228" s="603"/>
      <c r="Q228" s="571" t="s">
        <v>834</v>
      </c>
      <c r="R228" s="543" t="s">
        <v>271</v>
      </c>
      <c r="S228" s="600"/>
    </row>
    <row r="229" spans="1:19" ht="15.75" thickBot="1" x14ac:dyDescent="0.25">
      <c r="A229" s="659"/>
      <c r="B229" s="613"/>
      <c r="C229" s="140" t="s">
        <v>830</v>
      </c>
      <c r="D229" s="91">
        <v>4</v>
      </c>
      <c r="E229" s="545"/>
      <c r="F229" s="554"/>
      <c r="G229" s="63" t="s">
        <v>832</v>
      </c>
      <c r="H229" s="661"/>
      <c r="I229" s="590"/>
      <c r="J229" s="590"/>
      <c r="K229" s="579"/>
      <c r="L229" s="587"/>
      <c r="M229" s="587"/>
      <c r="N229" s="717"/>
      <c r="O229" s="604"/>
      <c r="P229" s="604"/>
      <c r="Q229" s="573"/>
      <c r="R229" s="545" t="s">
        <v>150</v>
      </c>
      <c r="S229" s="602"/>
    </row>
    <row r="230" spans="1:19" ht="15.75" thickBot="1" x14ac:dyDescent="0.25">
      <c r="A230" s="564"/>
      <c r="B230" s="20"/>
      <c r="C230" s="254"/>
      <c r="D230" s="94">
        <f>SUM(D228:D229)</f>
        <v>16</v>
      </c>
      <c r="E230" s="255"/>
      <c r="F230" s="24"/>
      <c r="G230" s="63"/>
      <c r="H230" s="161"/>
      <c r="I230" s="81"/>
      <c r="J230" s="81"/>
      <c r="K230" s="86"/>
      <c r="L230" s="165"/>
      <c r="M230" s="153"/>
      <c r="N230" s="260"/>
      <c r="O230" s="140"/>
      <c r="P230" s="140"/>
      <c r="Q230" s="80"/>
      <c r="R230" s="16"/>
      <c r="S230" s="153"/>
    </row>
    <row r="231" spans="1:19" s="349" customFormat="1" x14ac:dyDescent="0.2">
      <c r="A231" s="779">
        <v>56</v>
      </c>
      <c r="B231" s="753" t="s">
        <v>1032</v>
      </c>
      <c r="C231" s="307" t="s">
        <v>2190</v>
      </c>
      <c r="D231" s="354">
        <v>9.6999999999999993</v>
      </c>
      <c r="E231" s="721" t="s">
        <v>1676</v>
      </c>
      <c r="F231" s="733" t="s">
        <v>246</v>
      </c>
      <c r="G231" s="309" t="s">
        <v>2136</v>
      </c>
      <c r="H231" s="736" t="s">
        <v>1746</v>
      </c>
      <c r="I231" s="739">
        <v>41264</v>
      </c>
      <c r="J231" s="739"/>
      <c r="K231" s="769">
        <v>41462</v>
      </c>
      <c r="L231" s="750">
        <v>49756.7</v>
      </c>
      <c r="M231" s="750">
        <v>35105</v>
      </c>
      <c r="N231" s="721">
        <v>71.86</v>
      </c>
      <c r="O231" s="748" t="s">
        <v>2296</v>
      </c>
      <c r="P231" s="748"/>
      <c r="Q231" s="745" t="s">
        <v>1747</v>
      </c>
      <c r="R231" s="721" t="s">
        <v>271</v>
      </c>
      <c r="S231" s="780"/>
    </row>
    <row r="232" spans="1:19" s="349" customFormat="1" x14ac:dyDescent="0.2">
      <c r="A232" s="775"/>
      <c r="B232" s="754"/>
      <c r="C232" s="307" t="s">
        <v>1033</v>
      </c>
      <c r="D232" s="428">
        <v>4</v>
      </c>
      <c r="E232" s="722"/>
      <c r="F232" s="734"/>
      <c r="G232" s="309" t="s">
        <v>409</v>
      </c>
      <c r="H232" s="737"/>
      <c r="I232" s="740"/>
      <c r="J232" s="740"/>
      <c r="K232" s="770"/>
      <c r="L232" s="751"/>
      <c r="M232" s="751"/>
      <c r="N232" s="722"/>
      <c r="O232" s="749"/>
      <c r="P232" s="749"/>
      <c r="Q232" s="746"/>
      <c r="R232" s="722"/>
      <c r="S232" s="781"/>
    </row>
    <row r="233" spans="1:19" s="349" customFormat="1" x14ac:dyDescent="0.2">
      <c r="A233" s="775"/>
      <c r="B233" s="754"/>
      <c r="C233" s="307" t="s">
        <v>1742</v>
      </c>
      <c r="D233" s="308">
        <v>1.3</v>
      </c>
      <c r="E233" s="722"/>
      <c r="F233" s="734"/>
      <c r="G233" s="309" t="s">
        <v>1745</v>
      </c>
      <c r="H233" s="737"/>
      <c r="I233" s="740"/>
      <c r="J233" s="740"/>
      <c r="K233" s="770"/>
      <c r="L233" s="751"/>
      <c r="M233" s="751"/>
      <c r="N233" s="722"/>
      <c r="O233" s="749"/>
      <c r="P233" s="749"/>
      <c r="Q233" s="746"/>
      <c r="R233" s="722"/>
      <c r="S233" s="781"/>
    </row>
    <row r="234" spans="1:19" s="349" customFormat="1" x14ac:dyDescent="0.2">
      <c r="A234" s="775"/>
      <c r="B234" s="754"/>
      <c r="C234" s="307" t="s">
        <v>1743</v>
      </c>
      <c r="D234" s="308">
        <v>2.2000000000000002</v>
      </c>
      <c r="E234" s="722"/>
      <c r="F234" s="734"/>
      <c r="G234" s="309" t="s">
        <v>411</v>
      </c>
      <c r="H234" s="737"/>
      <c r="I234" s="740"/>
      <c r="J234" s="740"/>
      <c r="K234" s="770"/>
      <c r="L234" s="751"/>
      <c r="M234" s="751"/>
      <c r="N234" s="722"/>
      <c r="O234" s="749"/>
      <c r="P234" s="749"/>
      <c r="Q234" s="746"/>
      <c r="R234" s="722"/>
      <c r="S234" s="781"/>
    </row>
    <row r="235" spans="1:19" s="349" customFormat="1" ht="15.75" thickBot="1" x14ac:dyDescent="0.25">
      <c r="A235" s="775"/>
      <c r="B235" s="754"/>
      <c r="C235" s="307" t="s">
        <v>1744</v>
      </c>
      <c r="D235" s="429">
        <v>2.4</v>
      </c>
      <c r="E235" s="732"/>
      <c r="F235" s="735"/>
      <c r="G235" s="309" t="s">
        <v>410</v>
      </c>
      <c r="H235" s="738"/>
      <c r="I235" s="740"/>
      <c r="J235" s="740"/>
      <c r="K235" s="771"/>
      <c r="L235" s="755"/>
      <c r="M235" s="755"/>
      <c r="N235" s="722"/>
      <c r="O235" s="749"/>
      <c r="P235" s="749"/>
      <c r="Q235" s="747"/>
      <c r="R235" s="732" t="s">
        <v>150</v>
      </c>
      <c r="S235" s="782"/>
    </row>
    <row r="236" spans="1:19" s="349" customFormat="1" ht="15.75" thickBot="1" x14ac:dyDescent="0.25">
      <c r="A236" s="776"/>
      <c r="B236" s="336"/>
      <c r="C236" s="374"/>
      <c r="D236" s="375">
        <f>SUM(D231:D235)</f>
        <v>19.599999999999998</v>
      </c>
      <c r="E236" s="376"/>
      <c r="F236" s="313"/>
      <c r="G236" s="309"/>
      <c r="H236" s="383"/>
      <c r="I236" s="315"/>
      <c r="J236" s="315"/>
      <c r="K236" s="397"/>
      <c r="L236" s="388"/>
      <c r="M236" s="318"/>
      <c r="N236" s="318"/>
      <c r="O236" s="307"/>
      <c r="P236" s="307"/>
      <c r="Q236" s="364"/>
      <c r="R236" s="380"/>
      <c r="S236" s="318"/>
    </row>
    <row r="237" spans="1:19" x14ac:dyDescent="0.2">
      <c r="A237" s="563">
        <v>57</v>
      </c>
      <c r="B237" s="558" t="s">
        <v>1748</v>
      </c>
      <c r="C237" s="140" t="s">
        <v>1749</v>
      </c>
      <c r="D237" s="90">
        <v>3</v>
      </c>
      <c r="E237" s="543" t="s">
        <v>1676</v>
      </c>
      <c r="F237" s="552" t="s">
        <v>246</v>
      </c>
      <c r="G237" s="63" t="s">
        <v>1752</v>
      </c>
      <c r="H237" s="660" t="s">
        <v>1755</v>
      </c>
      <c r="I237" s="589">
        <v>41264</v>
      </c>
      <c r="J237" s="589"/>
      <c r="K237" s="577"/>
      <c r="L237" s="588">
        <v>26425</v>
      </c>
      <c r="M237" s="588"/>
      <c r="N237" s="716"/>
      <c r="O237" s="603"/>
      <c r="P237" s="603"/>
      <c r="Q237" s="571" t="s">
        <v>1756</v>
      </c>
      <c r="R237" s="543">
        <f>R185</f>
        <v>0</v>
      </c>
      <c r="S237" s="600"/>
    </row>
    <row r="238" spans="1:19" x14ac:dyDescent="0.2">
      <c r="A238" s="659"/>
      <c r="B238" s="613"/>
      <c r="C238" s="140" t="s">
        <v>1750</v>
      </c>
      <c r="D238" s="120">
        <v>2.5</v>
      </c>
      <c r="E238" s="544"/>
      <c r="F238" s="553"/>
      <c r="G238" s="63" t="s">
        <v>1753</v>
      </c>
      <c r="H238" s="752"/>
      <c r="I238" s="590"/>
      <c r="J238" s="590"/>
      <c r="K238" s="578"/>
      <c r="L238" s="586"/>
      <c r="M238" s="586"/>
      <c r="N238" s="717"/>
      <c r="O238" s="604"/>
      <c r="P238" s="604"/>
      <c r="Q238" s="572"/>
      <c r="R238" s="544"/>
      <c r="S238" s="601"/>
    </row>
    <row r="239" spans="1:19" ht="15.75" thickBot="1" x14ac:dyDescent="0.25">
      <c r="A239" s="659"/>
      <c r="B239" s="613"/>
      <c r="C239" s="140" t="s">
        <v>1751</v>
      </c>
      <c r="D239" s="91">
        <v>6</v>
      </c>
      <c r="E239" s="545"/>
      <c r="F239" s="554"/>
      <c r="G239" s="63" t="s">
        <v>1754</v>
      </c>
      <c r="H239" s="661"/>
      <c r="I239" s="590"/>
      <c r="J239" s="590"/>
      <c r="K239" s="579"/>
      <c r="L239" s="587"/>
      <c r="M239" s="587"/>
      <c r="N239" s="717"/>
      <c r="O239" s="604"/>
      <c r="P239" s="604"/>
      <c r="Q239" s="573"/>
      <c r="R239" s="545" t="s">
        <v>150</v>
      </c>
      <c r="S239" s="602"/>
    </row>
    <row r="240" spans="1:19" ht="15.75" thickBot="1" x14ac:dyDescent="0.25">
      <c r="A240" s="564"/>
      <c r="B240" s="20"/>
      <c r="C240" s="254"/>
      <c r="D240" s="94">
        <f>SUM(D237:D239)</f>
        <v>11.5</v>
      </c>
      <c r="E240" s="255"/>
      <c r="F240" s="24"/>
      <c r="G240" s="63"/>
      <c r="H240" s="161"/>
      <c r="I240" s="81"/>
      <c r="J240" s="81"/>
      <c r="K240" s="86"/>
      <c r="L240" s="165"/>
      <c r="M240" s="153"/>
      <c r="N240" s="260"/>
      <c r="O240" s="140"/>
      <c r="P240" s="140"/>
      <c r="Q240" s="80"/>
      <c r="R240" s="16"/>
      <c r="S240" s="153"/>
    </row>
    <row r="241" spans="1:19" x14ac:dyDescent="0.2">
      <c r="A241" s="563">
        <v>58</v>
      </c>
      <c r="B241" s="558" t="s">
        <v>1213</v>
      </c>
      <c r="C241" s="140" t="s">
        <v>820</v>
      </c>
      <c r="D241" s="90">
        <v>15</v>
      </c>
      <c r="E241" s="543" t="s">
        <v>1676</v>
      </c>
      <c r="F241" s="552" t="s">
        <v>246</v>
      </c>
      <c r="G241" s="63" t="s">
        <v>1442</v>
      </c>
      <c r="H241" s="660" t="s">
        <v>1214</v>
      </c>
      <c r="I241" s="589">
        <v>41264</v>
      </c>
      <c r="J241" s="589"/>
      <c r="K241" s="577"/>
      <c r="L241" s="588">
        <v>46905</v>
      </c>
      <c r="M241" s="588">
        <v>44587.32</v>
      </c>
      <c r="N241" s="721">
        <v>100</v>
      </c>
      <c r="O241" s="603" t="s">
        <v>768</v>
      </c>
      <c r="P241" s="603"/>
      <c r="Q241" s="571" t="s">
        <v>1215</v>
      </c>
      <c r="R241" s="543" t="str">
        <f>R188</f>
        <v>GOG</v>
      </c>
      <c r="S241" s="600"/>
    </row>
    <row r="242" spans="1:19" ht="37.5" customHeight="1" thickBot="1" x14ac:dyDescent="0.25">
      <c r="A242" s="659"/>
      <c r="B242" s="613"/>
      <c r="C242" s="142" t="s">
        <v>821</v>
      </c>
      <c r="D242" s="322">
        <v>2.5</v>
      </c>
      <c r="E242" s="545"/>
      <c r="F242" s="554"/>
      <c r="G242" s="321" t="s">
        <v>822</v>
      </c>
      <c r="H242" s="661"/>
      <c r="I242" s="590"/>
      <c r="J242" s="590"/>
      <c r="K242" s="579"/>
      <c r="L242" s="587"/>
      <c r="M242" s="587"/>
      <c r="N242" s="722"/>
      <c r="O242" s="604"/>
      <c r="P242" s="604"/>
      <c r="Q242" s="573"/>
      <c r="R242" s="545" t="s">
        <v>150</v>
      </c>
      <c r="S242" s="602"/>
    </row>
    <row r="243" spans="1:19" ht="15.75" thickBot="1" x14ac:dyDescent="0.25">
      <c r="A243" s="564"/>
      <c r="B243" s="20"/>
      <c r="C243" s="254"/>
      <c r="D243" s="94">
        <f>SUM(D241:D242)</f>
        <v>17.5</v>
      </c>
      <c r="E243" s="255"/>
      <c r="F243" s="24"/>
      <c r="G243" s="63"/>
      <c r="H243" s="161"/>
      <c r="I243" s="81"/>
      <c r="J243" s="81"/>
      <c r="K243" s="86"/>
      <c r="L243" s="165"/>
      <c r="M243" s="153"/>
      <c r="N243" s="260"/>
      <c r="O243" s="140"/>
      <c r="P243" s="140"/>
      <c r="Q243" s="80"/>
      <c r="R243" s="16"/>
      <c r="S243" s="153"/>
    </row>
    <row r="244" spans="1:19" ht="20.25" customHeight="1" x14ac:dyDescent="0.2">
      <c r="A244" s="563">
        <v>59</v>
      </c>
      <c r="B244" s="558" t="s">
        <v>1216</v>
      </c>
      <c r="C244" s="140" t="s">
        <v>1217</v>
      </c>
      <c r="D244" s="90">
        <v>17</v>
      </c>
      <c r="E244" s="727" t="s">
        <v>1676</v>
      </c>
      <c r="F244" s="552" t="s">
        <v>246</v>
      </c>
      <c r="G244" s="63" t="s">
        <v>408</v>
      </c>
      <c r="H244" s="606" t="s">
        <v>1219</v>
      </c>
      <c r="I244" s="589">
        <v>41264</v>
      </c>
      <c r="J244" s="589">
        <v>41340</v>
      </c>
      <c r="K244" s="589">
        <v>41462</v>
      </c>
      <c r="L244" s="588">
        <v>48956</v>
      </c>
      <c r="M244" s="588">
        <v>44635.17</v>
      </c>
      <c r="N244" s="716">
        <v>100</v>
      </c>
      <c r="O244" s="603" t="s">
        <v>1194</v>
      </c>
      <c r="P244" s="603"/>
      <c r="Q244" s="571" t="s">
        <v>1220</v>
      </c>
      <c r="R244" s="543" t="str">
        <f>R188</f>
        <v>GOG</v>
      </c>
      <c r="S244" s="543"/>
    </row>
    <row r="245" spans="1:19" ht="23.25" customHeight="1" thickBot="1" x14ac:dyDescent="0.25">
      <c r="A245" s="659"/>
      <c r="B245" s="559"/>
      <c r="C245" s="140" t="s">
        <v>1218</v>
      </c>
      <c r="D245" s="91">
        <v>2</v>
      </c>
      <c r="E245" s="728"/>
      <c r="F245" s="553"/>
      <c r="G245" s="63" t="s">
        <v>1445</v>
      </c>
      <c r="H245" s="608"/>
      <c r="I245" s="590"/>
      <c r="J245" s="590"/>
      <c r="K245" s="590"/>
      <c r="L245" s="587"/>
      <c r="M245" s="586"/>
      <c r="N245" s="717"/>
      <c r="O245" s="604"/>
      <c r="P245" s="604"/>
      <c r="Q245" s="572"/>
      <c r="R245" s="545" t="s">
        <v>150</v>
      </c>
      <c r="S245" s="544"/>
    </row>
    <row r="246" spans="1:19" ht="15.75" thickBot="1" x14ac:dyDescent="0.25">
      <c r="A246" s="564"/>
      <c r="B246" s="138"/>
      <c r="C246" s="254"/>
      <c r="D246" s="94">
        <f>SUM(D244:D245)</f>
        <v>19</v>
      </c>
      <c r="E246" s="255"/>
      <c r="F246" s="24"/>
      <c r="G246" s="63"/>
      <c r="H246" s="161"/>
      <c r="I246" s="81"/>
      <c r="J246" s="81"/>
      <c r="K246" s="82"/>
      <c r="L246" s="165"/>
      <c r="M246" s="153"/>
      <c r="N246" s="260"/>
      <c r="O246" s="140"/>
      <c r="P246" s="140"/>
      <c r="Q246" s="80"/>
      <c r="R246" s="16"/>
      <c r="S246" s="153"/>
    </row>
    <row r="247" spans="1:19" s="349" customFormat="1" ht="22.5" customHeight="1" x14ac:dyDescent="0.2">
      <c r="A247" s="779">
        <v>60</v>
      </c>
      <c r="B247" s="753" t="s">
        <v>1757</v>
      </c>
      <c r="C247" s="307" t="s">
        <v>1110</v>
      </c>
      <c r="D247" s="354">
        <v>15</v>
      </c>
      <c r="E247" s="721" t="s">
        <v>1676</v>
      </c>
      <c r="F247" s="733" t="s">
        <v>246</v>
      </c>
      <c r="G247" s="309" t="s">
        <v>1906</v>
      </c>
      <c r="H247" s="736" t="s">
        <v>1758</v>
      </c>
      <c r="I247" s="739">
        <v>41264</v>
      </c>
      <c r="J247" s="739"/>
      <c r="K247" s="769">
        <v>41495</v>
      </c>
      <c r="L247" s="750">
        <v>48493</v>
      </c>
      <c r="M247" s="750">
        <v>38143.870000000003</v>
      </c>
      <c r="N247" s="721">
        <v>100</v>
      </c>
      <c r="O247" s="748" t="s">
        <v>535</v>
      </c>
      <c r="P247" s="748"/>
      <c r="Q247" s="745" t="s">
        <v>1759</v>
      </c>
      <c r="R247" s="721" t="str">
        <f>R244</f>
        <v>GOG</v>
      </c>
      <c r="S247" s="721"/>
    </row>
    <row r="248" spans="1:19" s="349" customFormat="1" ht="23.25" customHeight="1" thickBot="1" x14ac:dyDescent="0.25">
      <c r="A248" s="775"/>
      <c r="B248" s="762"/>
      <c r="C248" s="307" t="s">
        <v>1111</v>
      </c>
      <c r="D248" s="429">
        <v>6.7</v>
      </c>
      <c r="E248" s="732"/>
      <c r="F248" s="734"/>
      <c r="G248" s="309" t="s">
        <v>1737</v>
      </c>
      <c r="H248" s="738"/>
      <c r="I248" s="740"/>
      <c r="J248" s="741"/>
      <c r="K248" s="771"/>
      <c r="L248" s="755"/>
      <c r="M248" s="751"/>
      <c r="N248" s="787"/>
      <c r="O248" s="786"/>
      <c r="P248" s="786"/>
      <c r="Q248" s="746"/>
      <c r="R248" s="732" t="s">
        <v>150</v>
      </c>
      <c r="S248" s="783"/>
    </row>
    <row r="249" spans="1:19" s="349" customFormat="1" ht="15.75" thickBot="1" x14ac:dyDescent="0.25">
      <c r="A249" s="776"/>
      <c r="B249" s="386"/>
      <c r="C249" s="374"/>
      <c r="D249" s="375">
        <f>SUM(D247:D248)</f>
        <v>21.7</v>
      </c>
      <c r="E249" s="376"/>
      <c r="F249" s="313"/>
      <c r="G249" s="309"/>
      <c r="H249" s="384"/>
      <c r="I249" s="315"/>
      <c r="J249" s="377"/>
      <c r="K249" s="378"/>
      <c r="L249" s="388"/>
      <c r="M249" s="318"/>
      <c r="N249" s="382"/>
      <c r="O249" s="379"/>
      <c r="P249" s="379"/>
      <c r="Q249" s="364"/>
      <c r="R249" s="380"/>
      <c r="S249" s="318"/>
    </row>
    <row r="250" spans="1:19" x14ac:dyDescent="0.2">
      <c r="A250" s="563">
        <v>61</v>
      </c>
      <c r="B250" s="558" t="s">
        <v>1971</v>
      </c>
      <c r="C250" s="140" t="s">
        <v>827</v>
      </c>
      <c r="D250" s="90">
        <v>7</v>
      </c>
      <c r="E250" s="543" t="s">
        <v>1676</v>
      </c>
      <c r="F250" s="552" t="s">
        <v>246</v>
      </c>
      <c r="G250" s="366"/>
      <c r="H250" s="592" t="s">
        <v>426</v>
      </c>
      <c r="I250" s="589">
        <v>41264</v>
      </c>
      <c r="J250" s="589"/>
      <c r="K250" s="577"/>
      <c r="L250" s="588">
        <v>42793</v>
      </c>
      <c r="M250" s="588"/>
      <c r="N250" s="716"/>
      <c r="O250" s="603"/>
      <c r="P250" s="603"/>
      <c r="Q250" s="571" t="s">
        <v>427</v>
      </c>
      <c r="R250" s="543" t="str">
        <f>R247</f>
        <v>GOG</v>
      </c>
      <c r="S250" s="543"/>
    </row>
    <row r="251" spans="1:19" s="105" customFormat="1" x14ac:dyDescent="0.2">
      <c r="A251" s="659"/>
      <c r="B251" s="613"/>
      <c r="C251" s="140" t="s">
        <v>28</v>
      </c>
      <c r="D251" s="90">
        <v>3.5</v>
      </c>
      <c r="E251" s="544"/>
      <c r="F251" s="553"/>
      <c r="G251" s="366"/>
      <c r="H251" s="593"/>
      <c r="I251" s="590"/>
      <c r="J251" s="590"/>
      <c r="K251" s="578"/>
      <c r="L251" s="586"/>
      <c r="M251" s="586"/>
      <c r="N251" s="717"/>
      <c r="O251" s="604"/>
      <c r="P251" s="604"/>
      <c r="Q251" s="572"/>
      <c r="R251" s="544"/>
      <c r="S251" s="544"/>
    </row>
    <row r="252" spans="1:19" x14ac:dyDescent="0.2">
      <c r="A252" s="659"/>
      <c r="B252" s="613"/>
      <c r="C252" s="139" t="s">
        <v>29</v>
      </c>
      <c r="D252" s="120">
        <v>2.5</v>
      </c>
      <c r="E252" s="544"/>
      <c r="F252" s="553"/>
      <c r="G252" s="367"/>
      <c r="H252" s="593"/>
      <c r="I252" s="590"/>
      <c r="J252" s="590"/>
      <c r="K252" s="578"/>
      <c r="L252" s="586"/>
      <c r="M252" s="586"/>
      <c r="N252" s="717"/>
      <c r="O252" s="604"/>
      <c r="P252" s="604"/>
      <c r="Q252" s="572"/>
      <c r="R252" s="544"/>
      <c r="S252" s="544"/>
    </row>
    <row r="253" spans="1:19" ht="15.75" thickBot="1" x14ac:dyDescent="0.25">
      <c r="A253" s="659"/>
      <c r="B253" s="559"/>
      <c r="C253" s="140" t="s">
        <v>1970</v>
      </c>
      <c r="D253" s="91">
        <v>3.5</v>
      </c>
      <c r="E253" s="545"/>
      <c r="F253" s="553"/>
      <c r="G253" s="309"/>
      <c r="H253" s="594"/>
      <c r="I253" s="590"/>
      <c r="J253" s="591"/>
      <c r="K253" s="579"/>
      <c r="L253" s="587"/>
      <c r="M253" s="586"/>
      <c r="N253" s="723"/>
      <c r="O253" s="675"/>
      <c r="P253" s="675"/>
      <c r="Q253" s="572"/>
      <c r="R253" s="545" t="s">
        <v>150</v>
      </c>
      <c r="S253" s="618"/>
    </row>
    <row r="254" spans="1:19" ht="15.75" thickBot="1" x14ac:dyDescent="0.25">
      <c r="A254" s="564"/>
      <c r="B254" s="138"/>
      <c r="C254" s="254"/>
      <c r="D254" s="94">
        <f>SUM(D250:D253)</f>
        <v>16.5</v>
      </c>
      <c r="E254" s="255"/>
      <c r="F254" s="24"/>
      <c r="G254" s="63"/>
      <c r="H254" s="163"/>
      <c r="I254" s="81"/>
      <c r="J254" s="76"/>
      <c r="K254" s="77"/>
      <c r="L254" s="165"/>
      <c r="M254" s="153"/>
      <c r="N254" s="262"/>
      <c r="O254" s="139"/>
      <c r="P254" s="139"/>
      <c r="Q254" s="80"/>
      <c r="R254" s="16"/>
      <c r="S254" s="153"/>
    </row>
    <row r="255" spans="1:19" s="349" customFormat="1" ht="51.75" customHeight="1" thickBot="1" x14ac:dyDescent="0.25">
      <c r="A255" s="745">
        <v>62</v>
      </c>
      <c r="B255" s="336" t="s">
        <v>428</v>
      </c>
      <c r="C255" s="422" t="s">
        <v>428</v>
      </c>
      <c r="D255" s="360">
        <v>15.5</v>
      </c>
      <c r="E255" s="430" t="s">
        <v>942</v>
      </c>
      <c r="F255" s="417" t="s">
        <v>246</v>
      </c>
      <c r="G255" s="423" t="s">
        <v>1384</v>
      </c>
      <c r="H255" s="313" t="s">
        <v>1278</v>
      </c>
      <c r="I255" s="424">
        <v>41264</v>
      </c>
      <c r="J255" s="425"/>
      <c r="K255" s="424">
        <v>41533</v>
      </c>
      <c r="L255" s="426">
        <v>36866</v>
      </c>
      <c r="M255" s="426">
        <v>34886.720000000001</v>
      </c>
      <c r="N255" s="431">
        <v>100</v>
      </c>
      <c r="O255" s="398" t="s">
        <v>2293</v>
      </c>
      <c r="P255" s="432"/>
      <c r="Q255" s="412" t="s">
        <v>1627</v>
      </c>
      <c r="R255" s="359" t="s">
        <v>271</v>
      </c>
      <c r="S255" s="427"/>
    </row>
    <row r="256" spans="1:19" s="349" customFormat="1" ht="15.75" thickBot="1" x14ac:dyDescent="0.25">
      <c r="A256" s="747"/>
      <c r="B256" s="386"/>
      <c r="C256" s="307"/>
      <c r="D256" s="399">
        <f>SUM(D255:D255)</f>
        <v>15.5</v>
      </c>
      <c r="E256" s="380"/>
      <c r="F256" s="313"/>
      <c r="G256" s="309"/>
      <c r="H256" s="385"/>
      <c r="I256" s="315"/>
      <c r="J256" s="315"/>
      <c r="K256" s="316"/>
      <c r="L256" s="359"/>
      <c r="M256" s="318"/>
      <c r="N256" s="400"/>
      <c r="O256" s="398"/>
      <c r="P256" s="401"/>
      <c r="Q256" s="364"/>
      <c r="R256" s="380"/>
      <c r="S256" s="318"/>
    </row>
    <row r="257" spans="1:19" s="349" customFormat="1" x14ac:dyDescent="0.2">
      <c r="A257" s="563">
        <v>63</v>
      </c>
      <c r="B257" s="753" t="s">
        <v>927</v>
      </c>
      <c r="C257" s="307" t="s">
        <v>928</v>
      </c>
      <c r="D257" s="354">
        <v>4</v>
      </c>
      <c r="E257" s="721" t="s">
        <v>942</v>
      </c>
      <c r="F257" s="733" t="s">
        <v>246</v>
      </c>
      <c r="G257" s="309" t="s">
        <v>1730</v>
      </c>
      <c r="H257" s="736" t="s">
        <v>1894</v>
      </c>
      <c r="I257" s="739">
        <v>41264</v>
      </c>
      <c r="J257" s="739"/>
      <c r="K257" s="769"/>
      <c r="L257" s="750">
        <v>36680</v>
      </c>
      <c r="M257" s="750"/>
      <c r="N257" s="721">
        <v>100</v>
      </c>
      <c r="O257" s="748" t="s">
        <v>2293</v>
      </c>
      <c r="P257" s="748"/>
      <c r="Q257" s="745" t="s">
        <v>1625</v>
      </c>
      <c r="R257" s="721" t="str">
        <f>R250</f>
        <v>GOG</v>
      </c>
      <c r="S257" s="721"/>
    </row>
    <row r="258" spans="1:19" s="349" customFormat="1" x14ac:dyDescent="0.2">
      <c r="A258" s="659"/>
      <c r="B258" s="754"/>
      <c r="C258" s="307" t="s">
        <v>929</v>
      </c>
      <c r="D258" s="308">
        <v>3</v>
      </c>
      <c r="E258" s="722"/>
      <c r="F258" s="734"/>
      <c r="G258" s="309" t="s">
        <v>1385</v>
      </c>
      <c r="H258" s="737"/>
      <c r="I258" s="740"/>
      <c r="J258" s="740"/>
      <c r="K258" s="770"/>
      <c r="L258" s="751"/>
      <c r="M258" s="751"/>
      <c r="N258" s="722"/>
      <c r="O258" s="749"/>
      <c r="P258" s="749"/>
      <c r="Q258" s="746"/>
      <c r="R258" s="722"/>
      <c r="S258" s="722"/>
    </row>
    <row r="259" spans="1:19" s="349" customFormat="1" x14ac:dyDescent="0.2">
      <c r="A259" s="659"/>
      <c r="B259" s="754"/>
      <c r="C259" s="307" t="s">
        <v>1623</v>
      </c>
      <c r="D259" s="428">
        <v>4.5</v>
      </c>
      <c r="E259" s="722"/>
      <c r="F259" s="734"/>
      <c r="G259" s="309" t="s">
        <v>2204</v>
      </c>
      <c r="H259" s="737"/>
      <c r="I259" s="740"/>
      <c r="J259" s="740"/>
      <c r="K259" s="770"/>
      <c r="L259" s="751"/>
      <c r="M259" s="751"/>
      <c r="N259" s="722"/>
      <c r="O259" s="749"/>
      <c r="P259" s="749"/>
      <c r="Q259" s="746"/>
      <c r="R259" s="722"/>
      <c r="S259" s="722"/>
    </row>
    <row r="260" spans="1:19" s="349" customFormat="1" ht="15.75" thickBot="1" x14ac:dyDescent="0.25">
      <c r="A260" s="659"/>
      <c r="B260" s="762"/>
      <c r="C260" s="307" t="s">
        <v>1622</v>
      </c>
      <c r="D260" s="429">
        <v>4</v>
      </c>
      <c r="E260" s="732"/>
      <c r="F260" s="734"/>
      <c r="G260" s="309" t="s">
        <v>1501</v>
      </c>
      <c r="H260" s="738"/>
      <c r="I260" s="740"/>
      <c r="J260" s="741"/>
      <c r="K260" s="771"/>
      <c r="L260" s="755"/>
      <c r="M260" s="751"/>
      <c r="N260" s="787"/>
      <c r="O260" s="786"/>
      <c r="P260" s="786"/>
      <c r="Q260" s="746"/>
      <c r="R260" s="732" t="s">
        <v>150</v>
      </c>
      <c r="S260" s="783"/>
    </row>
    <row r="261" spans="1:19" ht="15.75" thickBot="1" x14ac:dyDescent="0.25">
      <c r="A261" s="564"/>
      <c r="B261" s="138"/>
      <c r="C261" s="254"/>
      <c r="D261" s="94">
        <f>SUM(D257:D260)</f>
        <v>15.5</v>
      </c>
      <c r="E261" s="255"/>
      <c r="F261" s="24"/>
      <c r="G261" s="63"/>
      <c r="H261" s="163"/>
      <c r="I261" s="81"/>
      <c r="J261" s="76"/>
      <c r="K261" s="77"/>
      <c r="L261" s="165"/>
      <c r="M261" s="153"/>
      <c r="N261" s="262"/>
      <c r="O261" s="139"/>
      <c r="P261" s="139"/>
      <c r="Q261" s="80"/>
      <c r="R261" s="16"/>
      <c r="S261" s="153"/>
    </row>
    <row r="262" spans="1:19" s="349" customFormat="1" ht="54.75" customHeight="1" thickBot="1" x14ac:dyDescent="0.25">
      <c r="A262" s="571">
        <v>64</v>
      </c>
      <c r="B262" s="336" t="s">
        <v>1624</v>
      </c>
      <c r="C262" s="422" t="s">
        <v>1624</v>
      </c>
      <c r="D262" s="360">
        <v>13</v>
      </c>
      <c r="E262" s="430" t="s">
        <v>942</v>
      </c>
      <c r="F262" s="433" t="s">
        <v>246</v>
      </c>
      <c r="G262" s="423" t="s">
        <v>446</v>
      </c>
      <c r="H262" s="313" t="s">
        <v>1894</v>
      </c>
      <c r="I262" s="424">
        <v>41264</v>
      </c>
      <c r="J262" s="425"/>
      <c r="K262" s="424"/>
      <c r="L262" s="426">
        <v>29159</v>
      </c>
      <c r="M262" s="426">
        <v>27948.75</v>
      </c>
      <c r="N262" s="427">
        <v>100</v>
      </c>
      <c r="O262" s="398" t="s">
        <v>2311</v>
      </c>
      <c r="P262" s="456"/>
      <c r="Q262" s="434" t="s">
        <v>1626</v>
      </c>
      <c r="R262" s="359" t="s">
        <v>271</v>
      </c>
      <c r="S262" s="427"/>
    </row>
    <row r="263" spans="1:19" ht="15.75" thickBot="1" x14ac:dyDescent="0.25">
      <c r="A263" s="573"/>
      <c r="B263" s="138"/>
      <c r="C263" s="140"/>
      <c r="D263" s="99">
        <f>SUM(D262:D262)</f>
        <v>13</v>
      </c>
      <c r="E263" s="16"/>
      <c r="F263" s="24"/>
      <c r="G263" s="63"/>
      <c r="H263" s="130"/>
      <c r="I263" s="81"/>
      <c r="J263" s="81"/>
      <c r="K263" s="82"/>
      <c r="L263" s="152"/>
      <c r="M263" s="153"/>
      <c r="N263" s="260"/>
      <c r="O263" s="140"/>
      <c r="P263" s="140"/>
      <c r="Q263" s="80"/>
      <c r="R263" s="16"/>
      <c r="S263" s="153"/>
    </row>
    <row r="264" spans="1:19" x14ac:dyDescent="0.2">
      <c r="A264" s="563">
        <v>65</v>
      </c>
      <c r="B264" s="558" t="s">
        <v>1628</v>
      </c>
      <c r="C264" s="140" t="s">
        <v>1629</v>
      </c>
      <c r="D264" s="90">
        <v>11</v>
      </c>
      <c r="E264" s="543" t="s">
        <v>942</v>
      </c>
      <c r="F264" s="552" t="s">
        <v>246</v>
      </c>
      <c r="G264" s="62" t="s">
        <v>708</v>
      </c>
      <c r="H264" s="592" t="s">
        <v>1695</v>
      </c>
      <c r="I264" s="589">
        <v>41264</v>
      </c>
      <c r="J264" s="589"/>
      <c r="K264" s="577"/>
      <c r="L264" s="588">
        <v>48970</v>
      </c>
      <c r="M264" s="588"/>
      <c r="N264" s="721">
        <v>100</v>
      </c>
      <c r="O264" s="603" t="s">
        <v>1154</v>
      </c>
      <c r="P264" s="603"/>
      <c r="Q264" s="571" t="s">
        <v>1632</v>
      </c>
      <c r="R264" s="543" t="s">
        <v>271</v>
      </c>
      <c r="S264" s="543"/>
    </row>
    <row r="265" spans="1:19" s="4" customFormat="1" x14ac:dyDescent="0.2">
      <c r="A265" s="659"/>
      <c r="B265" s="613"/>
      <c r="C265" s="145" t="s">
        <v>1630</v>
      </c>
      <c r="D265" s="271">
        <v>9.1999999999999993</v>
      </c>
      <c r="E265" s="544"/>
      <c r="F265" s="553"/>
      <c r="G265" s="64" t="s">
        <v>155</v>
      </c>
      <c r="H265" s="593"/>
      <c r="I265" s="590"/>
      <c r="J265" s="590"/>
      <c r="K265" s="578"/>
      <c r="L265" s="586"/>
      <c r="M265" s="586"/>
      <c r="N265" s="722"/>
      <c r="O265" s="604"/>
      <c r="P265" s="604"/>
      <c r="Q265" s="572"/>
      <c r="R265" s="544"/>
      <c r="S265" s="544"/>
    </row>
    <row r="266" spans="1:19" ht="15.75" thickBot="1" x14ac:dyDescent="0.25">
      <c r="A266" s="659"/>
      <c r="B266" s="559"/>
      <c r="C266" s="140" t="s">
        <v>1631</v>
      </c>
      <c r="D266" s="91">
        <v>4.5</v>
      </c>
      <c r="E266" s="545"/>
      <c r="F266" s="553"/>
      <c r="G266" s="62" t="s">
        <v>156</v>
      </c>
      <c r="H266" s="594"/>
      <c r="I266" s="590"/>
      <c r="J266" s="591"/>
      <c r="K266" s="579"/>
      <c r="L266" s="587"/>
      <c r="M266" s="586"/>
      <c r="N266" s="787"/>
      <c r="O266" s="675"/>
      <c r="P266" s="675"/>
      <c r="Q266" s="572"/>
      <c r="R266" s="545" t="s">
        <v>150</v>
      </c>
      <c r="S266" s="618"/>
    </row>
    <row r="267" spans="1:19" ht="15.75" thickBot="1" x14ac:dyDescent="0.25">
      <c r="A267" s="564"/>
      <c r="B267" s="138"/>
      <c r="C267" s="254"/>
      <c r="D267" s="94">
        <f>SUM(D264:D266)</f>
        <v>24.7</v>
      </c>
      <c r="E267" s="255"/>
      <c r="F267" s="24"/>
      <c r="G267" s="63"/>
      <c r="H267" s="163"/>
      <c r="I267" s="81"/>
      <c r="J267" s="76"/>
      <c r="K267" s="77"/>
      <c r="L267" s="165"/>
      <c r="M267" s="153"/>
      <c r="N267" s="262"/>
      <c r="O267" s="139"/>
      <c r="P267" s="139"/>
      <c r="Q267" s="80"/>
      <c r="R267" s="16"/>
      <c r="S267" s="153"/>
    </row>
    <row r="268" spans="1:19" s="349" customFormat="1" x14ac:dyDescent="0.2">
      <c r="A268" s="779">
        <v>66</v>
      </c>
      <c r="B268" s="753" t="s">
        <v>1635</v>
      </c>
      <c r="C268" s="307" t="s">
        <v>1636</v>
      </c>
      <c r="D268" s="354">
        <v>8</v>
      </c>
      <c r="E268" s="721" t="s">
        <v>942</v>
      </c>
      <c r="F268" s="733" t="s">
        <v>246</v>
      </c>
      <c r="G268" s="309" t="s">
        <v>1384</v>
      </c>
      <c r="H268" s="736" t="s">
        <v>1633</v>
      </c>
      <c r="I268" s="739">
        <v>41264</v>
      </c>
      <c r="J268" s="739"/>
      <c r="K268" s="769"/>
      <c r="L268" s="750">
        <v>42900</v>
      </c>
      <c r="M268" s="750"/>
      <c r="N268" s="721">
        <v>100</v>
      </c>
      <c r="O268" s="748" t="s">
        <v>2297</v>
      </c>
      <c r="P268" s="748"/>
      <c r="Q268" s="745" t="s">
        <v>1634</v>
      </c>
      <c r="R268" s="721" t="s">
        <v>271</v>
      </c>
      <c r="S268" s="721"/>
    </row>
    <row r="269" spans="1:19" s="349" customFormat="1" x14ac:dyDescent="0.2">
      <c r="A269" s="775"/>
      <c r="B269" s="754"/>
      <c r="C269" s="307" t="s">
        <v>1637</v>
      </c>
      <c r="D269" s="308">
        <v>7.5</v>
      </c>
      <c r="E269" s="722"/>
      <c r="F269" s="734"/>
      <c r="G269" s="309" t="s">
        <v>1384</v>
      </c>
      <c r="H269" s="737"/>
      <c r="I269" s="740"/>
      <c r="J269" s="740"/>
      <c r="K269" s="770"/>
      <c r="L269" s="751"/>
      <c r="M269" s="751"/>
      <c r="N269" s="722"/>
      <c r="O269" s="749"/>
      <c r="P269" s="749"/>
      <c r="Q269" s="746"/>
      <c r="R269" s="722"/>
      <c r="S269" s="722"/>
    </row>
    <row r="270" spans="1:19" s="349" customFormat="1" ht="15.75" thickBot="1" x14ac:dyDescent="0.25">
      <c r="A270" s="775"/>
      <c r="B270" s="762"/>
      <c r="C270" s="307" t="s">
        <v>929</v>
      </c>
      <c r="D270" s="429">
        <v>3.5</v>
      </c>
      <c r="E270" s="732"/>
      <c r="F270" s="734"/>
      <c r="G270" s="309" t="s">
        <v>1385</v>
      </c>
      <c r="H270" s="738"/>
      <c r="I270" s="740"/>
      <c r="J270" s="741"/>
      <c r="K270" s="771"/>
      <c r="L270" s="755"/>
      <c r="M270" s="751"/>
      <c r="N270" s="787"/>
      <c r="O270" s="786"/>
      <c r="P270" s="786"/>
      <c r="Q270" s="746"/>
      <c r="R270" s="732" t="s">
        <v>150</v>
      </c>
      <c r="S270" s="783"/>
    </row>
    <row r="271" spans="1:19" s="349" customFormat="1" ht="15.75" thickBot="1" x14ac:dyDescent="0.25">
      <c r="A271" s="776"/>
      <c r="B271" s="386"/>
      <c r="C271" s="374"/>
      <c r="D271" s="375">
        <f>SUM(D268:D270)</f>
        <v>19</v>
      </c>
      <c r="E271" s="376"/>
      <c r="F271" s="313"/>
      <c r="G271" s="309"/>
      <c r="H271" s="384"/>
      <c r="I271" s="315"/>
      <c r="J271" s="377"/>
      <c r="K271" s="378"/>
      <c r="L271" s="388"/>
      <c r="M271" s="318"/>
      <c r="N271" s="382"/>
      <c r="O271" s="379"/>
      <c r="P271" s="379"/>
      <c r="Q271" s="364"/>
      <c r="R271" s="380"/>
      <c r="S271" s="318"/>
    </row>
    <row r="272" spans="1:19" x14ac:dyDescent="0.2">
      <c r="A272" s="563">
        <v>67</v>
      </c>
      <c r="B272" s="558" t="s">
        <v>1638</v>
      </c>
      <c r="C272" s="140" t="s">
        <v>1639</v>
      </c>
      <c r="D272" s="90">
        <v>11.8</v>
      </c>
      <c r="E272" s="543" t="s">
        <v>942</v>
      </c>
      <c r="F272" s="552" t="s">
        <v>246</v>
      </c>
      <c r="G272" s="63" t="s">
        <v>2233</v>
      </c>
      <c r="H272" s="592" t="s">
        <v>1170</v>
      </c>
      <c r="I272" s="589">
        <v>41264</v>
      </c>
      <c r="J272" s="589"/>
      <c r="K272" s="577"/>
      <c r="L272" s="588">
        <v>37804.800000000003</v>
      </c>
      <c r="M272" s="588"/>
      <c r="N272" s="721">
        <v>100</v>
      </c>
      <c r="O272" s="603" t="s">
        <v>2286</v>
      </c>
      <c r="P272" s="603"/>
      <c r="Q272" s="571" t="s">
        <v>1171</v>
      </c>
      <c r="R272" s="543" t="s">
        <v>271</v>
      </c>
      <c r="S272" s="543"/>
    </row>
    <row r="273" spans="1:19" x14ac:dyDescent="0.2">
      <c r="A273" s="659"/>
      <c r="B273" s="613"/>
      <c r="C273" s="140" t="s">
        <v>1641</v>
      </c>
      <c r="D273" s="90">
        <v>0.8</v>
      </c>
      <c r="E273" s="544"/>
      <c r="F273" s="553"/>
      <c r="G273" s="63" t="s">
        <v>1554</v>
      </c>
      <c r="H273" s="593"/>
      <c r="I273" s="590"/>
      <c r="J273" s="590"/>
      <c r="K273" s="578"/>
      <c r="L273" s="586"/>
      <c r="M273" s="586"/>
      <c r="N273" s="722"/>
      <c r="O273" s="604"/>
      <c r="P273" s="604"/>
      <c r="Q273" s="572"/>
      <c r="R273" s="544"/>
      <c r="S273" s="544"/>
    </row>
    <row r="274" spans="1:19" x14ac:dyDescent="0.2">
      <c r="A274" s="659"/>
      <c r="B274" s="613"/>
      <c r="C274" s="140" t="s">
        <v>1642</v>
      </c>
      <c r="D274" s="78">
        <v>1</v>
      </c>
      <c r="E274" s="544"/>
      <c r="F274" s="553"/>
      <c r="G274" s="63" t="s">
        <v>1640</v>
      </c>
      <c r="H274" s="593"/>
      <c r="I274" s="590"/>
      <c r="J274" s="590"/>
      <c r="K274" s="578"/>
      <c r="L274" s="586"/>
      <c r="M274" s="586"/>
      <c r="N274" s="722"/>
      <c r="O274" s="604"/>
      <c r="P274" s="604"/>
      <c r="Q274" s="572"/>
      <c r="R274" s="544"/>
      <c r="S274" s="544"/>
    </row>
    <row r="275" spans="1:19" ht="15.75" thickBot="1" x14ac:dyDescent="0.25">
      <c r="A275" s="659"/>
      <c r="B275" s="559"/>
      <c r="C275" s="140" t="s">
        <v>1169</v>
      </c>
      <c r="D275" s="91">
        <v>2.2000000000000002</v>
      </c>
      <c r="E275" s="545"/>
      <c r="F275" s="553"/>
      <c r="G275" s="63" t="s">
        <v>567</v>
      </c>
      <c r="H275" s="594"/>
      <c r="I275" s="590"/>
      <c r="J275" s="591"/>
      <c r="K275" s="579"/>
      <c r="L275" s="587"/>
      <c r="M275" s="586"/>
      <c r="N275" s="787"/>
      <c r="O275" s="675"/>
      <c r="P275" s="675"/>
      <c r="Q275" s="572"/>
      <c r="R275" s="545" t="s">
        <v>150</v>
      </c>
      <c r="S275" s="618"/>
    </row>
    <row r="276" spans="1:19" ht="15.75" thickBot="1" x14ac:dyDescent="0.25">
      <c r="A276" s="564"/>
      <c r="B276" s="138"/>
      <c r="C276" s="254"/>
      <c r="D276" s="94">
        <f>SUM(D272:D275)</f>
        <v>15.8</v>
      </c>
      <c r="E276" s="255"/>
      <c r="F276" s="24"/>
      <c r="G276" s="63"/>
      <c r="H276" s="163"/>
      <c r="I276" s="81"/>
      <c r="J276" s="76"/>
      <c r="K276" s="77"/>
      <c r="L276" s="165"/>
      <c r="M276" s="153"/>
      <c r="N276" s="262"/>
      <c r="O276" s="139"/>
      <c r="P276" s="139"/>
      <c r="Q276" s="80"/>
      <c r="R276" s="16"/>
      <c r="S276" s="153"/>
    </row>
    <row r="277" spans="1:19" s="265" customFormat="1" x14ac:dyDescent="0.2">
      <c r="A277" s="563">
        <v>68</v>
      </c>
      <c r="B277" s="558" t="s">
        <v>130</v>
      </c>
      <c r="C277" s="225" t="s">
        <v>131</v>
      </c>
      <c r="D277" s="267">
        <v>13.5</v>
      </c>
      <c r="E277" s="543" t="s">
        <v>942</v>
      </c>
      <c r="F277" s="552" t="s">
        <v>246</v>
      </c>
      <c r="G277" s="264" t="s">
        <v>1739</v>
      </c>
      <c r="H277" s="592" t="s">
        <v>134</v>
      </c>
      <c r="I277" s="589">
        <v>41264</v>
      </c>
      <c r="J277" s="589"/>
      <c r="K277" s="577"/>
      <c r="L277" s="588">
        <v>49647</v>
      </c>
      <c r="M277" s="588"/>
      <c r="N277" s="716"/>
      <c r="O277" s="603"/>
      <c r="P277" s="603"/>
      <c r="Q277" s="571" t="s">
        <v>1366</v>
      </c>
      <c r="R277" s="543" t="s">
        <v>271</v>
      </c>
      <c r="S277" s="543"/>
    </row>
    <row r="278" spans="1:19" x14ac:dyDescent="0.2">
      <c r="A278" s="659"/>
      <c r="B278" s="613"/>
      <c r="C278" s="140" t="s">
        <v>132</v>
      </c>
      <c r="D278" s="78">
        <v>3.8</v>
      </c>
      <c r="E278" s="544"/>
      <c r="F278" s="553"/>
      <c r="G278" s="63" t="s">
        <v>1367</v>
      </c>
      <c r="H278" s="593"/>
      <c r="I278" s="590"/>
      <c r="J278" s="590"/>
      <c r="K278" s="578"/>
      <c r="L278" s="586"/>
      <c r="M278" s="586"/>
      <c r="N278" s="717"/>
      <c r="O278" s="604"/>
      <c r="P278" s="604"/>
      <c r="Q278" s="572"/>
      <c r="R278" s="544"/>
      <c r="S278" s="544"/>
    </row>
    <row r="279" spans="1:19" ht="15.75" thickBot="1" x14ac:dyDescent="0.25">
      <c r="A279" s="659"/>
      <c r="B279" s="559"/>
      <c r="C279" s="140" t="s">
        <v>133</v>
      </c>
      <c r="D279" s="91">
        <v>3.3</v>
      </c>
      <c r="E279" s="545"/>
      <c r="F279" s="553"/>
      <c r="G279" s="63" t="s">
        <v>1368</v>
      </c>
      <c r="H279" s="594"/>
      <c r="I279" s="590"/>
      <c r="J279" s="591"/>
      <c r="K279" s="579"/>
      <c r="L279" s="587"/>
      <c r="M279" s="586"/>
      <c r="N279" s="723"/>
      <c r="O279" s="675"/>
      <c r="P279" s="675"/>
      <c r="Q279" s="572"/>
      <c r="R279" s="545" t="s">
        <v>150</v>
      </c>
      <c r="S279" s="618"/>
    </row>
    <row r="280" spans="1:19" ht="15.75" thickBot="1" x14ac:dyDescent="0.25">
      <c r="A280" s="564"/>
      <c r="B280" s="138"/>
      <c r="C280" s="254"/>
      <c r="D280" s="94">
        <f>SUM(D277:D279)</f>
        <v>20.6</v>
      </c>
      <c r="E280" s="255"/>
      <c r="F280" s="24"/>
      <c r="G280" s="63"/>
      <c r="H280" s="163"/>
      <c r="I280" s="81"/>
      <c r="J280" s="76"/>
      <c r="K280" s="77"/>
      <c r="L280" s="165"/>
      <c r="M280" s="153"/>
      <c r="N280" s="262"/>
      <c r="O280" s="139"/>
      <c r="P280" s="139"/>
      <c r="Q280" s="80"/>
      <c r="R280" s="16"/>
      <c r="S280" s="153"/>
    </row>
    <row r="281" spans="1:19" s="105" customFormat="1" ht="45.75" thickBot="1" x14ac:dyDescent="0.25">
      <c r="A281" s="563">
        <v>69</v>
      </c>
      <c r="B281" s="20" t="s">
        <v>154</v>
      </c>
      <c r="C281" s="20" t="s">
        <v>1370</v>
      </c>
      <c r="D281" s="176">
        <v>3.5</v>
      </c>
      <c r="E281" s="152" t="s">
        <v>1676</v>
      </c>
      <c r="F281" s="24" t="s">
        <v>1450</v>
      </c>
      <c r="G281" s="62" t="s">
        <v>1572</v>
      </c>
      <c r="H281" s="160" t="s">
        <v>2207</v>
      </c>
      <c r="I281" s="246">
        <v>41264</v>
      </c>
      <c r="J281" s="246">
        <v>41360</v>
      </c>
      <c r="K281" s="246">
        <v>41482</v>
      </c>
      <c r="L281" s="167">
        <v>47591.64</v>
      </c>
      <c r="M281" s="167">
        <v>41924</v>
      </c>
      <c r="N281" s="261">
        <v>90</v>
      </c>
      <c r="O281" s="119" t="s">
        <v>1583</v>
      </c>
      <c r="P281" s="107"/>
      <c r="Q281" s="80" t="s">
        <v>1369</v>
      </c>
      <c r="R281" s="152" t="s">
        <v>271</v>
      </c>
      <c r="S281" s="152">
        <v>1</v>
      </c>
    </row>
    <row r="282" spans="1:19" ht="12.75" customHeight="1" thickBot="1" x14ac:dyDescent="0.25">
      <c r="A282" s="564"/>
      <c r="B282" s="131"/>
      <c r="C282" s="252"/>
      <c r="D282" s="94">
        <f>SUM(D281:D281)</f>
        <v>3.5</v>
      </c>
      <c r="E282" s="253"/>
      <c r="F282" s="36"/>
      <c r="G282" s="75"/>
      <c r="H282" s="163"/>
      <c r="I282" s="76"/>
      <c r="J282" s="76"/>
      <c r="K282" s="77"/>
      <c r="L282" s="156"/>
      <c r="M282" s="149"/>
      <c r="N282" s="262"/>
      <c r="O282" s="139"/>
      <c r="P282" s="139"/>
      <c r="Q282" s="67"/>
      <c r="R282" s="151"/>
      <c r="S282" s="149"/>
    </row>
  </sheetData>
  <autoFilter ref="A5:Q282">
    <filterColumn colId="1" showButton="0"/>
    <filterColumn colId="8" showButton="0"/>
    <filterColumn colId="9" showButton="0"/>
  </autoFilter>
  <mergeCells count="869">
    <mergeCell ref="P172:P178"/>
    <mergeCell ref="P167:P170"/>
    <mergeCell ref="E188:E190"/>
    <mergeCell ref="A228:A230"/>
    <mergeCell ref="B228:B229"/>
    <mergeCell ref="E228:E229"/>
    <mergeCell ref="F228:F229"/>
    <mergeCell ref="H228:H229"/>
    <mergeCell ref="A218:A219"/>
    <mergeCell ref="A220:A222"/>
    <mergeCell ref="B220:B221"/>
    <mergeCell ref="E220:E221"/>
    <mergeCell ref="J228:J229"/>
    <mergeCell ref="B192:B194"/>
    <mergeCell ref="B208:B211"/>
    <mergeCell ref="E208:E211"/>
    <mergeCell ref="B202:B206"/>
    <mergeCell ref="E192:E194"/>
    <mergeCell ref="E196:E198"/>
    <mergeCell ref="E172:E178"/>
    <mergeCell ref="E167:E170"/>
    <mergeCell ref="K208:K211"/>
    <mergeCell ref="J208:J211"/>
    <mergeCell ref="J213:J216"/>
    <mergeCell ref="A152:A157"/>
    <mergeCell ref="B152:B156"/>
    <mergeCell ref="E152:E156"/>
    <mergeCell ref="F152:F156"/>
    <mergeCell ref="H152:H156"/>
    <mergeCell ref="F220:F221"/>
    <mergeCell ref="M220:M221"/>
    <mergeCell ref="K223:K226"/>
    <mergeCell ref="H223:H226"/>
    <mergeCell ref="I223:I226"/>
    <mergeCell ref="K152:K156"/>
    <mergeCell ref="F192:F194"/>
    <mergeCell ref="I158:I161"/>
    <mergeCell ref="J172:J178"/>
    <mergeCell ref="L152:L156"/>
    <mergeCell ref="J223:J226"/>
    <mergeCell ref="L192:L194"/>
    <mergeCell ref="L172:L178"/>
    <mergeCell ref="K167:K170"/>
    <mergeCell ref="A158:A162"/>
    <mergeCell ref="B158:B161"/>
    <mergeCell ref="A172:A179"/>
    <mergeCell ref="A192:A195"/>
    <mergeCell ref="A196:A199"/>
    <mergeCell ref="I272:I275"/>
    <mergeCell ref="J272:J275"/>
    <mergeCell ref="K272:K275"/>
    <mergeCell ref="O264:O266"/>
    <mergeCell ref="P264:P266"/>
    <mergeCell ref="Q264:Q266"/>
    <mergeCell ref="R272:R275"/>
    <mergeCell ref="S272:S275"/>
    <mergeCell ref="M272:M275"/>
    <mergeCell ref="N272:N275"/>
    <mergeCell ref="O272:O275"/>
    <mergeCell ref="P272:P275"/>
    <mergeCell ref="R268:R270"/>
    <mergeCell ref="S268:S270"/>
    <mergeCell ref="L272:L275"/>
    <mergeCell ref="Q272:Q275"/>
    <mergeCell ref="L268:L270"/>
    <mergeCell ref="M268:M270"/>
    <mergeCell ref="N268:N270"/>
    <mergeCell ref="O268:O270"/>
    <mergeCell ref="P268:P270"/>
    <mergeCell ref="Q268:Q270"/>
    <mergeCell ref="R264:R266"/>
    <mergeCell ref="S264:S266"/>
    <mergeCell ref="A268:A271"/>
    <mergeCell ref="B268:B270"/>
    <mergeCell ref="E268:E270"/>
    <mergeCell ref="F268:F270"/>
    <mergeCell ref="H268:H270"/>
    <mergeCell ref="I268:I270"/>
    <mergeCell ref="J268:J270"/>
    <mergeCell ref="K268:K270"/>
    <mergeCell ref="E264:E266"/>
    <mergeCell ref="F264:F266"/>
    <mergeCell ref="H264:H266"/>
    <mergeCell ref="I264:I266"/>
    <mergeCell ref="J264:J266"/>
    <mergeCell ref="K264:K266"/>
    <mergeCell ref="L264:L266"/>
    <mergeCell ref="M264:M266"/>
    <mergeCell ref="N264:N266"/>
    <mergeCell ref="I257:I260"/>
    <mergeCell ref="J257:J260"/>
    <mergeCell ref="S257:S260"/>
    <mergeCell ref="Q257:Q260"/>
    <mergeCell ref="R257:R260"/>
    <mergeCell ref="M257:M260"/>
    <mergeCell ref="N257:N260"/>
    <mergeCell ref="O257:O260"/>
    <mergeCell ref="P257:P260"/>
    <mergeCell ref="K257:K260"/>
    <mergeCell ref="L257:L260"/>
    <mergeCell ref="I152:I156"/>
    <mergeCell ref="I228:I229"/>
    <mergeCell ref="H188:H190"/>
    <mergeCell ref="H192:H194"/>
    <mergeCell ref="H196:H198"/>
    <mergeCell ref="F188:F190"/>
    <mergeCell ref="F182:F186"/>
    <mergeCell ref="F196:F198"/>
    <mergeCell ref="F208:F211"/>
    <mergeCell ref="F223:F226"/>
    <mergeCell ref="F167:F170"/>
    <mergeCell ref="H167:H170"/>
    <mergeCell ref="F163:F165"/>
    <mergeCell ref="H158:H161"/>
    <mergeCell ref="H163:H165"/>
    <mergeCell ref="I163:I165"/>
    <mergeCell ref="A19:A23"/>
    <mergeCell ref="B19:B22"/>
    <mergeCell ref="B62:B64"/>
    <mergeCell ref="B46:B47"/>
    <mergeCell ref="M68:M69"/>
    <mergeCell ref="L62:L64"/>
    <mergeCell ref="L68:L69"/>
    <mergeCell ref="N68:N69"/>
    <mergeCell ref="M31:M34"/>
    <mergeCell ref="N31:N34"/>
    <mergeCell ref="N36:N40"/>
    <mergeCell ref="M58:M60"/>
    <mergeCell ref="N24:N29"/>
    <mergeCell ref="N58:N60"/>
    <mergeCell ref="M49:M52"/>
    <mergeCell ref="L46:L47"/>
    <mergeCell ref="F24:F29"/>
    <mergeCell ref="A62:A65"/>
    <mergeCell ref="A58:A61"/>
    <mergeCell ref="R9:R10"/>
    <mergeCell ref="A9:A11"/>
    <mergeCell ref="B9:B10"/>
    <mergeCell ref="H9:H10"/>
    <mergeCell ref="I9:I10"/>
    <mergeCell ref="E9:E10"/>
    <mergeCell ref="F9:F10"/>
    <mergeCell ref="L9:L10"/>
    <mergeCell ref="R16:R17"/>
    <mergeCell ref="J9:J10"/>
    <mergeCell ref="M16:M17"/>
    <mergeCell ref="K16:K17"/>
    <mergeCell ref="F16:F17"/>
    <mergeCell ref="A144:A151"/>
    <mergeCell ref="B144:B150"/>
    <mergeCell ref="M9:M10"/>
    <mergeCell ref="N9:N10"/>
    <mergeCell ref="O9:O10"/>
    <mergeCell ref="P9:P10"/>
    <mergeCell ref="Q9:Q10"/>
    <mergeCell ref="A79:A80"/>
    <mergeCell ref="A24:A30"/>
    <mergeCell ref="B24:B29"/>
    <mergeCell ref="E24:E29"/>
    <mergeCell ref="L16:L17"/>
    <mergeCell ref="M132:M134"/>
    <mergeCell ref="N132:N134"/>
    <mergeCell ref="B81:B84"/>
    <mergeCell ref="B132:B134"/>
    <mergeCell ref="A136:A139"/>
    <mergeCell ref="A16:A18"/>
    <mergeCell ref="B16:B17"/>
    <mergeCell ref="P24:P29"/>
    <mergeCell ref="Q12:Q14"/>
    <mergeCell ref="O126:O130"/>
    <mergeCell ref="E136:E138"/>
    <mergeCell ref="N49:N52"/>
    <mergeCell ref="R19:R22"/>
    <mergeCell ref="Q19:Q22"/>
    <mergeCell ref="Q16:Q17"/>
    <mergeCell ref="S19:S22"/>
    <mergeCell ref="A12:A15"/>
    <mergeCell ref="B12:B14"/>
    <mergeCell ref="O12:O14"/>
    <mergeCell ref="F12:F14"/>
    <mergeCell ref="H12:H14"/>
    <mergeCell ref="M12:M14"/>
    <mergeCell ref="N12:N14"/>
    <mergeCell ref="E12:E14"/>
    <mergeCell ref="J12:J14"/>
    <mergeCell ref="P12:P14"/>
    <mergeCell ref="P19:P22"/>
    <mergeCell ref="I12:I14"/>
    <mergeCell ref="K12:K14"/>
    <mergeCell ref="L12:L14"/>
    <mergeCell ref="O19:O22"/>
    <mergeCell ref="M19:M22"/>
    <mergeCell ref="O16:O17"/>
    <mergeCell ref="K19:K22"/>
    <mergeCell ref="H19:H22"/>
    <mergeCell ref="J16:J17"/>
    <mergeCell ref="R24:R29"/>
    <mergeCell ref="R31:R34"/>
    <mergeCell ref="E81:E84"/>
    <mergeCell ref="H49:H52"/>
    <mergeCell ref="F81:F84"/>
    <mergeCell ref="H81:H84"/>
    <mergeCell ref="F68:F69"/>
    <mergeCell ref="E49:E52"/>
    <mergeCell ref="H62:H64"/>
    <mergeCell ref="K36:K40"/>
    <mergeCell ref="K31:K34"/>
    <mergeCell ref="Q31:Q34"/>
    <mergeCell ref="P31:P34"/>
    <mergeCell ref="L58:L60"/>
    <mergeCell ref="N62:N64"/>
    <mergeCell ref="O31:O34"/>
    <mergeCell ref="P36:P40"/>
    <mergeCell ref="Q24:Q29"/>
    <mergeCell ref="O24:O29"/>
    <mergeCell ref="L31:L34"/>
    <mergeCell ref="L24:L29"/>
    <mergeCell ref="N46:N47"/>
    <mergeCell ref="M62:M64"/>
    <mergeCell ref="M24:M29"/>
    <mergeCell ref="R46:R47"/>
    <mergeCell ref="L107:L110"/>
    <mergeCell ref="M36:M40"/>
    <mergeCell ref="L81:L84"/>
    <mergeCell ref="Q95:Q101"/>
    <mergeCell ref="R95:R101"/>
    <mergeCell ref="M46:M47"/>
    <mergeCell ref="M95:M101"/>
    <mergeCell ref="R107:R110"/>
    <mergeCell ref="L91:L93"/>
    <mergeCell ref="M91:M93"/>
    <mergeCell ref="N91:N93"/>
    <mergeCell ref="Q49:Q52"/>
    <mergeCell ref="O36:O40"/>
    <mergeCell ref="P49:P52"/>
    <mergeCell ref="Q46:Q47"/>
    <mergeCell ref="P46:P47"/>
    <mergeCell ref="O46:O47"/>
    <mergeCell ref="Q36:Q40"/>
    <mergeCell ref="P68:P69"/>
    <mergeCell ref="Q68:Q69"/>
    <mergeCell ref="Q58:Q60"/>
    <mergeCell ref="O49:O52"/>
    <mergeCell ref="P58:P60"/>
    <mergeCell ref="Q103:Q105"/>
    <mergeCell ref="S91:S93"/>
    <mergeCell ref="P91:P93"/>
    <mergeCell ref="P86:P89"/>
    <mergeCell ref="O86:O89"/>
    <mergeCell ref="S58:S60"/>
    <mergeCell ref="S62:S64"/>
    <mergeCell ref="Q81:Q84"/>
    <mergeCell ref="P62:P64"/>
    <mergeCell ref="O62:O64"/>
    <mergeCell ref="Q62:Q64"/>
    <mergeCell ref="Q86:Q89"/>
    <mergeCell ref="R86:R89"/>
    <mergeCell ref="R58:R60"/>
    <mergeCell ref="O68:O69"/>
    <mergeCell ref="R62:R64"/>
    <mergeCell ref="P81:P84"/>
    <mergeCell ref="O58:O60"/>
    <mergeCell ref="A115:A116"/>
    <mergeCell ref="A122:A125"/>
    <mergeCell ref="A126:A131"/>
    <mergeCell ref="H117:H120"/>
    <mergeCell ref="F117:F120"/>
    <mergeCell ref="H122:H124"/>
    <mergeCell ref="B126:B130"/>
    <mergeCell ref="E126:E130"/>
    <mergeCell ref="J132:J134"/>
    <mergeCell ref="I122:I124"/>
    <mergeCell ref="J122:J124"/>
    <mergeCell ref="J126:J130"/>
    <mergeCell ref="I126:I130"/>
    <mergeCell ref="F126:F130"/>
    <mergeCell ref="A117:A121"/>
    <mergeCell ref="B117:B120"/>
    <mergeCell ref="E117:E120"/>
    <mergeCell ref="A132:A135"/>
    <mergeCell ref="E132:E134"/>
    <mergeCell ref="H132:H134"/>
    <mergeCell ref="F132:F134"/>
    <mergeCell ref="Q5:Q7"/>
    <mergeCell ref="Q132:Q134"/>
    <mergeCell ref="Q117:Q120"/>
    <mergeCell ref="I117:I120"/>
    <mergeCell ref="J117:J120"/>
    <mergeCell ref="P5:P7"/>
    <mergeCell ref="P16:P17"/>
    <mergeCell ref="L49:L52"/>
    <mergeCell ref="M107:M110"/>
    <mergeCell ref="M117:M120"/>
    <mergeCell ref="J112:J113"/>
    <mergeCell ref="K103:K105"/>
    <mergeCell ref="K95:K101"/>
    <mergeCell ref="J107:J110"/>
    <mergeCell ref="K117:K120"/>
    <mergeCell ref="O95:O101"/>
    <mergeCell ref="P107:P110"/>
    <mergeCell ref="O107:O110"/>
    <mergeCell ref="O103:O105"/>
    <mergeCell ref="P103:P105"/>
    <mergeCell ref="P95:P101"/>
    <mergeCell ref="N103:N105"/>
    <mergeCell ref="Q122:Q124"/>
    <mergeCell ref="Q126:Q130"/>
    <mergeCell ref="Q241:Q242"/>
    <mergeCell ref="N107:N110"/>
    <mergeCell ref="P122:P124"/>
    <mergeCell ref="O132:O134"/>
    <mergeCell ref="P132:P134"/>
    <mergeCell ref="R196:R198"/>
    <mergeCell ref="Q188:Q190"/>
    <mergeCell ref="R136:R138"/>
    <mergeCell ref="R182:R186"/>
    <mergeCell ref="R122:R124"/>
    <mergeCell ref="N136:N138"/>
    <mergeCell ref="O136:O138"/>
    <mergeCell ref="P136:P138"/>
    <mergeCell ref="P126:P130"/>
    <mergeCell ref="Q112:Q113"/>
    <mergeCell ref="Q107:Q110"/>
    <mergeCell ref="N152:N156"/>
    <mergeCell ref="O152:O156"/>
    <mergeCell ref="P152:P156"/>
    <mergeCell ref="Q152:Q156"/>
    <mergeCell ref="P158:P161"/>
    <mergeCell ref="P163:P165"/>
    <mergeCell ref="P208:P211"/>
    <mergeCell ref="P188:P190"/>
    <mergeCell ref="Q244:Q245"/>
    <mergeCell ref="Q247:Q248"/>
    <mergeCell ref="Q202:Q206"/>
    <mergeCell ref="P213:P216"/>
    <mergeCell ref="Q213:Q216"/>
    <mergeCell ref="R5:R7"/>
    <mergeCell ref="R163:R165"/>
    <mergeCell ref="R68:R69"/>
    <mergeCell ref="R49:R52"/>
    <mergeCell ref="R81:R84"/>
    <mergeCell ref="R12:R14"/>
    <mergeCell ref="R132:R134"/>
    <mergeCell ref="R140:R142"/>
    <mergeCell ref="R36:R40"/>
    <mergeCell ref="R117:R120"/>
    <mergeCell ref="R247:R248"/>
    <mergeCell ref="R188:R190"/>
    <mergeCell ref="R244:R245"/>
    <mergeCell ref="R241:R242"/>
    <mergeCell ref="R192:R194"/>
    <mergeCell ref="R202:R206"/>
    <mergeCell ref="R208:R211"/>
    <mergeCell ref="R213:R216"/>
    <mergeCell ref="R237:R239"/>
    <mergeCell ref="S188:S190"/>
    <mergeCell ref="N213:N216"/>
    <mergeCell ref="N231:N235"/>
    <mergeCell ref="N208:N211"/>
    <mergeCell ref="P202:P206"/>
    <mergeCell ref="O202:O206"/>
    <mergeCell ref="Q208:Q211"/>
    <mergeCell ref="Q223:Q226"/>
    <mergeCell ref="R223:R226"/>
    <mergeCell ref="Q192:Q194"/>
    <mergeCell ref="Q196:Q198"/>
    <mergeCell ref="R228:R229"/>
    <mergeCell ref="O196:O198"/>
    <mergeCell ref="N196:N198"/>
    <mergeCell ref="N223:N226"/>
    <mergeCell ref="P192:P194"/>
    <mergeCell ref="P196:P198"/>
    <mergeCell ref="S196:S198"/>
    <mergeCell ref="S192:S194"/>
    <mergeCell ref="S220:S221"/>
    <mergeCell ref="S202:S206"/>
    <mergeCell ref="S208:S211"/>
    <mergeCell ref="S213:S216"/>
    <mergeCell ref="J192:J194"/>
    <mergeCell ref="M196:M198"/>
    <mergeCell ref="N192:N194"/>
    <mergeCell ref="O192:O194"/>
    <mergeCell ref="M192:M194"/>
    <mergeCell ref="O244:O245"/>
    <mergeCell ref="K247:K248"/>
    <mergeCell ref="K241:K242"/>
    <mergeCell ref="L196:L198"/>
    <mergeCell ref="K192:K194"/>
    <mergeCell ref="K244:K245"/>
    <mergeCell ref="L247:L248"/>
    <mergeCell ref="K220:K221"/>
    <mergeCell ref="O241:O242"/>
    <mergeCell ref="N202:N206"/>
    <mergeCell ref="P247:P248"/>
    <mergeCell ref="P241:P242"/>
    <mergeCell ref="P244:P245"/>
    <mergeCell ref="N241:N242"/>
    <mergeCell ref="L220:L221"/>
    <mergeCell ref="N247:N248"/>
    <mergeCell ref="O247:O248"/>
    <mergeCell ref="A1:Q1"/>
    <mergeCell ref="A2:Q2"/>
    <mergeCell ref="A3:Q3"/>
    <mergeCell ref="J188:J190"/>
    <mergeCell ref="M158:M161"/>
    <mergeCell ref="A182:A187"/>
    <mergeCell ref="I188:I190"/>
    <mergeCell ref="B188:B190"/>
    <mergeCell ref="K136:K138"/>
    <mergeCell ref="L136:L138"/>
    <mergeCell ref="L182:L186"/>
    <mergeCell ref="L188:L190"/>
    <mergeCell ref="Q158:Q161"/>
    <mergeCell ref="Q140:Q142"/>
    <mergeCell ref="Q167:Q170"/>
    <mergeCell ref="Q144:Q150"/>
    <mergeCell ref="M136:M138"/>
    <mergeCell ref="P182:P186"/>
    <mergeCell ref="Q182:Q186"/>
    <mergeCell ref="Q172:Q178"/>
    <mergeCell ref="Q136:Q138"/>
    <mergeCell ref="Q163:Q165"/>
    <mergeCell ref="M140:M142"/>
    <mergeCell ref="N117:N120"/>
    <mergeCell ref="O5:O7"/>
    <mergeCell ref="H107:H110"/>
    <mergeCell ref="J68:J69"/>
    <mergeCell ref="K107:K110"/>
    <mergeCell ref="H103:H105"/>
    <mergeCell ref="H86:H89"/>
    <mergeCell ref="H95:H101"/>
    <mergeCell ref="I95:I101"/>
    <mergeCell ref="O81:O84"/>
    <mergeCell ref="N86:N89"/>
    <mergeCell ref="M81:M84"/>
    <mergeCell ref="N81:N84"/>
    <mergeCell ref="L86:L89"/>
    <mergeCell ref="M5:M7"/>
    <mergeCell ref="L103:L105"/>
    <mergeCell ref="M103:M105"/>
    <mergeCell ref="L95:L101"/>
    <mergeCell ref="N5:N7"/>
    <mergeCell ref="N16:N17"/>
    <mergeCell ref="N19:N22"/>
    <mergeCell ref="N95:N101"/>
    <mergeCell ref="M86:M89"/>
    <mergeCell ref="H31:H34"/>
    <mergeCell ref="S182:S186"/>
    <mergeCell ref="S172:S178"/>
    <mergeCell ref="S136:S138"/>
    <mergeCell ref="S167:S170"/>
    <mergeCell ref="S163:S165"/>
    <mergeCell ref="S140:S142"/>
    <mergeCell ref="S158:S161"/>
    <mergeCell ref="S152:S156"/>
    <mergeCell ref="S112:S113"/>
    <mergeCell ref="R172:R178"/>
    <mergeCell ref="R167:R170"/>
    <mergeCell ref="R158:R161"/>
    <mergeCell ref="R144:R150"/>
    <mergeCell ref="R152:R156"/>
    <mergeCell ref="Q91:Q93"/>
    <mergeCell ref="R91:R93"/>
    <mergeCell ref="R103:R105"/>
    <mergeCell ref="S117:S120"/>
    <mergeCell ref="S5:S7"/>
    <mergeCell ref="S12:S14"/>
    <mergeCell ref="S9:S10"/>
    <mergeCell ref="S68:S69"/>
    <mergeCell ref="S49:S52"/>
    <mergeCell ref="S107:S110"/>
    <mergeCell ref="S24:S29"/>
    <mergeCell ref="S36:S40"/>
    <mergeCell ref="S46:S47"/>
    <mergeCell ref="S95:S101"/>
    <mergeCell ref="S81:S84"/>
    <mergeCell ref="S86:S89"/>
    <mergeCell ref="S31:S34"/>
    <mergeCell ref="S16:S17"/>
    <mergeCell ref="S103:S105"/>
    <mergeCell ref="S244:S245"/>
    <mergeCell ref="S231:S235"/>
    <mergeCell ref="S241:S242"/>
    <mergeCell ref="B250:B253"/>
    <mergeCell ref="B264:B266"/>
    <mergeCell ref="A272:A276"/>
    <mergeCell ref="B272:B275"/>
    <mergeCell ref="A247:A249"/>
    <mergeCell ref="A257:A261"/>
    <mergeCell ref="A255:A256"/>
    <mergeCell ref="A250:A254"/>
    <mergeCell ref="S247:S248"/>
    <mergeCell ref="J247:J248"/>
    <mergeCell ref="I247:I248"/>
    <mergeCell ref="H247:H248"/>
    <mergeCell ref="F247:F248"/>
    <mergeCell ref="I250:I253"/>
    <mergeCell ref="P250:P253"/>
    <mergeCell ref="Q250:Q253"/>
    <mergeCell ref="R250:R253"/>
    <mergeCell ref="J250:J253"/>
    <mergeCell ref="M250:M253"/>
    <mergeCell ref="N250:N253"/>
    <mergeCell ref="O250:O253"/>
    <mergeCell ref="L250:L253"/>
    <mergeCell ref="K250:K253"/>
    <mergeCell ref="S250:S253"/>
    <mergeCell ref="A188:A191"/>
    <mergeCell ref="A223:A227"/>
    <mergeCell ref="A208:A212"/>
    <mergeCell ref="A231:A236"/>
    <mergeCell ref="A180:A181"/>
    <mergeCell ref="A244:A246"/>
    <mergeCell ref="A200:A201"/>
    <mergeCell ref="A202:A207"/>
    <mergeCell ref="H231:H235"/>
    <mergeCell ref="N182:N186"/>
    <mergeCell ref="M241:M242"/>
    <mergeCell ref="O208:O211"/>
    <mergeCell ref="O213:O216"/>
    <mergeCell ref="O231:O235"/>
    <mergeCell ref="N220:N221"/>
    <mergeCell ref="O220:O221"/>
    <mergeCell ref="M213:M216"/>
    <mergeCell ref="M208:M211"/>
    <mergeCell ref="O223:O226"/>
    <mergeCell ref="M231:M235"/>
    <mergeCell ref="M202:M206"/>
    <mergeCell ref="E202:E206"/>
    <mergeCell ref="F202:F206"/>
    <mergeCell ref="H202:H206"/>
    <mergeCell ref="A262:A263"/>
    <mergeCell ref="A264:A267"/>
    <mergeCell ref="A277:A280"/>
    <mergeCell ref="B244:B245"/>
    <mergeCell ref="H244:H245"/>
    <mergeCell ref="E247:E248"/>
    <mergeCell ref="F241:F242"/>
    <mergeCell ref="B241:B242"/>
    <mergeCell ref="F244:F245"/>
    <mergeCell ref="E244:E245"/>
    <mergeCell ref="A241:A243"/>
    <mergeCell ref="B247:B248"/>
    <mergeCell ref="B257:B260"/>
    <mergeCell ref="E257:E260"/>
    <mergeCell ref="F257:F260"/>
    <mergeCell ref="H257:H260"/>
    <mergeCell ref="E272:E275"/>
    <mergeCell ref="F272:F275"/>
    <mergeCell ref="H272:H275"/>
    <mergeCell ref="E241:E242"/>
    <mergeCell ref="E250:E253"/>
    <mergeCell ref="F250:F253"/>
    <mergeCell ref="H250:H253"/>
    <mergeCell ref="H241:H242"/>
    <mergeCell ref="J244:J245"/>
    <mergeCell ref="J241:J242"/>
    <mergeCell ref="I244:I245"/>
    <mergeCell ref="I241:I242"/>
    <mergeCell ref="E158:E161"/>
    <mergeCell ref="G5:G7"/>
    <mergeCell ref="F5:F7"/>
    <mergeCell ref="E140:E142"/>
    <mergeCell ref="E36:E40"/>
    <mergeCell ref="E68:E69"/>
    <mergeCell ref="E58:E60"/>
    <mergeCell ref="E107:E110"/>
    <mergeCell ref="F31:F34"/>
    <mergeCell ref="E103:E105"/>
    <mergeCell ref="E91:E93"/>
    <mergeCell ref="E62:E64"/>
    <mergeCell ref="F62:F64"/>
    <mergeCell ref="F46:F47"/>
    <mergeCell ref="F49:F52"/>
    <mergeCell ref="E46:E47"/>
    <mergeCell ref="F58:F60"/>
    <mergeCell ref="B163:B165"/>
    <mergeCell ref="B167:B170"/>
    <mergeCell ref="D5:D7"/>
    <mergeCell ref="F136:F138"/>
    <mergeCell ref="E122:E124"/>
    <mergeCell ref="F36:F40"/>
    <mergeCell ref="E95:E101"/>
    <mergeCell ref="E86:E89"/>
    <mergeCell ref="E5:E7"/>
    <mergeCell ref="E19:E22"/>
    <mergeCell ref="F158:F161"/>
    <mergeCell ref="F95:F101"/>
    <mergeCell ref="F86:F89"/>
    <mergeCell ref="F103:F105"/>
    <mergeCell ref="F140:F142"/>
    <mergeCell ref="F107:F110"/>
    <mergeCell ref="E16:E17"/>
    <mergeCell ref="F122:F124"/>
    <mergeCell ref="E163:E165"/>
    <mergeCell ref="B112:B113"/>
    <mergeCell ref="F112:F113"/>
    <mergeCell ref="E112:E113"/>
    <mergeCell ref="E31:E34"/>
    <mergeCell ref="F19:F22"/>
    <mergeCell ref="A8:C8"/>
    <mergeCell ref="B5:C7"/>
    <mergeCell ref="A163:A166"/>
    <mergeCell ref="A140:A143"/>
    <mergeCell ref="B140:B142"/>
    <mergeCell ref="B136:B138"/>
    <mergeCell ref="A5:A7"/>
    <mergeCell ref="A81:A85"/>
    <mergeCell ref="A112:A114"/>
    <mergeCell ref="B122:B124"/>
    <mergeCell ref="A56:A57"/>
    <mergeCell ref="A68:A70"/>
    <mergeCell ref="B68:B69"/>
    <mergeCell ref="A49:A53"/>
    <mergeCell ref="A46:A48"/>
    <mergeCell ref="B49:B52"/>
    <mergeCell ref="B58:B60"/>
    <mergeCell ref="A54:A55"/>
    <mergeCell ref="A31:A35"/>
    <mergeCell ref="A44:A45"/>
    <mergeCell ref="B31:B34"/>
    <mergeCell ref="A36:A41"/>
    <mergeCell ref="B36:B40"/>
    <mergeCell ref="A42:A43"/>
    <mergeCell ref="I86:I89"/>
    <mergeCell ref="A95:A102"/>
    <mergeCell ref="B107:B110"/>
    <mergeCell ref="B95:B101"/>
    <mergeCell ref="B103:B105"/>
    <mergeCell ref="B86:B89"/>
    <mergeCell ref="A107:A111"/>
    <mergeCell ref="A103:A106"/>
    <mergeCell ref="A91:A94"/>
    <mergeCell ref="B91:B93"/>
    <mergeCell ref="A86:A90"/>
    <mergeCell ref="I107:I110"/>
    <mergeCell ref="H5:H7"/>
    <mergeCell ref="I5:K5"/>
    <mergeCell ref="J19:J22"/>
    <mergeCell ref="I46:I47"/>
    <mergeCell ref="J46:J47"/>
    <mergeCell ref="H36:H40"/>
    <mergeCell ref="L36:L40"/>
    <mergeCell ref="I19:I22"/>
    <mergeCell ref="I31:I34"/>
    <mergeCell ref="J31:J34"/>
    <mergeCell ref="L5:L7"/>
    <mergeCell ref="L19:L22"/>
    <mergeCell ref="K9:K10"/>
    <mergeCell ref="I36:I40"/>
    <mergeCell ref="H46:H47"/>
    <mergeCell ref="K46:K47"/>
    <mergeCell ref="I24:I29"/>
    <mergeCell ref="J24:J29"/>
    <mergeCell ref="K24:K29"/>
    <mergeCell ref="I16:I17"/>
    <mergeCell ref="H16:H17"/>
    <mergeCell ref="H24:H29"/>
    <mergeCell ref="J81:J84"/>
    <mergeCell ref="I49:I52"/>
    <mergeCell ref="H68:H69"/>
    <mergeCell ref="K58:K60"/>
    <mergeCell ref="K62:K64"/>
    <mergeCell ref="K49:K52"/>
    <mergeCell ref="J36:J40"/>
    <mergeCell ref="J49:J52"/>
    <mergeCell ref="I58:I60"/>
    <mergeCell ref="J58:J60"/>
    <mergeCell ref="J62:J64"/>
    <mergeCell ref="I62:I64"/>
    <mergeCell ref="I68:I69"/>
    <mergeCell ref="K81:K84"/>
    <mergeCell ref="K68:K69"/>
    <mergeCell ref="I81:I84"/>
    <mergeCell ref="H58:H60"/>
    <mergeCell ref="K86:K89"/>
    <mergeCell ref="K91:K93"/>
    <mergeCell ref="J152:J156"/>
    <mergeCell ref="K158:K161"/>
    <mergeCell ref="J158:J161"/>
    <mergeCell ref="J136:J138"/>
    <mergeCell ref="J103:J105"/>
    <mergeCell ref="J95:J101"/>
    <mergeCell ref="J86:J89"/>
    <mergeCell ref="K122:K124"/>
    <mergeCell ref="K126:K130"/>
    <mergeCell ref="K112:K113"/>
    <mergeCell ref="K163:K165"/>
    <mergeCell ref="J163:J165"/>
    <mergeCell ref="J140:J142"/>
    <mergeCell ref="L202:L206"/>
    <mergeCell ref="L208:L211"/>
    <mergeCell ref="I192:I194"/>
    <mergeCell ref="I196:I198"/>
    <mergeCell ref="L213:L216"/>
    <mergeCell ref="K231:K235"/>
    <mergeCell ref="L231:L235"/>
    <mergeCell ref="L223:L226"/>
    <mergeCell ref="J182:J186"/>
    <mergeCell ref="K196:K198"/>
    <mergeCell ref="J196:J198"/>
    <mergeCell ref="K182:K186"/>
    <mergeCell ref="K213:K216"/>
    <mergeCell ref="K202:K206"/>
    <mergeCell ref="I202:I206"/>
    <mergeCell ref="J202:J206"/>
    <mergeCell ref="L167:L170"/>
    <mergeCell ref="I213:I216"/>
    <mergeCell ref="K172:K178"/>
    <mergeCell ref="J167:J170"/>
    <mergeCell ref="K188:K190"/>
    <mergeCell ref="A167:A171"/>
    <mergeCell ref="I172:I178"/>
    <mergeCell ref="B172:B178"/>
    <mergeCell ref="B182:B186"/>
    <mergeCell ref="B196:B198"/>
    <mergeCell ref="I182:I186"/>
    <mergeCell ref="I167:I170"/>
    <mergeCell ref="E182:E186"/>
    <mergeCell ref="F172:F178"/>
    <mergeCell ref="H172:H178"/>
    <mergeCell ref="H182:H186"/>
    <mergeCell ref="S122:S124"/>
    <mergeCell ref="S126:S130"/>
    <mergeCell ref="S132:S134"/>
    <mergeCell ref="O117:O120"/>
    <mergeCell ref="P117:P120"/>
    <mergeCell ref="N158:N161"/>
    <mergeCell ref="L126:L130"/>
    <mergeCell ref="L122:L124"/>
    <mergeCell ref="L117:L120"/>
    <mergeCell ref="M152:M156"/>
    <mergeCell ref="O158:O161"/>
    <mergeCell ref="R126:R130"/>
    <mergeCell ref="M122:M124"/>
    <mergeCell ref="N122:N124"/>
    <mergeCell ref="O122:O124"/>
    <mergeCell ref="M126:M130"/>
    <mergeCell ref="N126:N130"/>
    <mergeCell ref="L132:L134"/>
    <mergeCell ref="R112:R113"/>
    <mergeCell ref="O163:O165"/>
    <mergeCell ref="L163:L165"/>
    <mergeCell ref="M163:M165"/>
    <mergeCell ref="N163:N165"/>
    <mergeCell ref="M188:M190"/>
    <mergeCell ref="M167:M170"/>
    <mergeCell ref="O188:O190"/>
    <mergeCell ref="N188:N190"/>
    <mergeCell ref="N167:N170"/>
    <mergeCell ref="N172:N178"/>
    <mergeCell ref="O182:O186"/>
    <mergeCell ref="O167:O170"/>
    <mergeCell ref="M182:M186"/>
    <mergeCell ref="M172:M178"/>
    <mergeCell ref="O172:O178"/>
    <mergeCell ref="M112:M113"/>
    <mergeCell ref="N112:N113"/>
    <mergeCell ref="O112:O113"/>
    <mergeCell ref="P112:P113"/>
    <mergeCell ref="N140:N142"/>
    <mergeCell ref="O140:O142"/>
    <mergeCell ref="P140:P142"/>
    <mergeCell ref="L158:L161"/>
    <mergeCell ref="B231:B235"/>
    <mergeCell ref="E231:E235"/>
    <mergeCell ref="F231:F235"/>
    <mergeCell ref="I231:I235"/>
    <mergeCell ref="J231:J235"/>
    <mergeCell ref="H220:H221"/>
    <mergeCell ref="I220:I221"/>
    <mergeCell ref="J220:J221"/>
    <mergeCell ref="B223:B226"/>
    <mergeCell ref="E223:E226"/>
    <mergeCell ref="A281:A282"/>
    <mergeCell ref="M277:M279"/>
    <mergeCell ref="N277:N279"/>
    <mergeCell ref="O277:O279"/>
    <mergeCell ref="I277:I279"/>
    <mergeCell ref="J277:J279"/>
    <mergeCell ref="K277:K279"/>
    <mergeCell ref="J237:J239"/>
    <mergeCell ref="B277:B279"/>
    <mergeCell ref="E277:E279"/>
    <mergeCell ref="K237:K239"/>
    <mergeCell ref="L237:L239"/>
    <mergeCell ref="M237:M239"/>
    <mergeCell ref="N237:N239"/>
    <mergeCell ref="M247:M248"/>
    <mergeCell ref="M244:M245"/>
    <mergeCell ref="A237:A240"/>
    <mergeCell ref="B237:B239"/>
    <mergeCell ref="E237:E239"/>
    <mergeCell ref="F237:F239"/>
    <mergeCell ref="H237:H239"/>
    <mergeCell ref="I237:I239"/>
    <mergeCell ref="L244:L245"/>
    <mergeCell ref="L241:L242"/>
    <mergeCell ref="A77:A78"/>
    <mergeCell ref="Q277:Q279"/>
    <mergeCell ref="F91:F93"/>
    <mergeCell ref="H91:H93"/>
    <mergeCell ref="I91:I93"/>
    <mergeCell ref="J91:J93"/>
    <mergeCell ref="O91:O93"/>
    <mergeCell ref="N244:N245"/>
    <mergeCell ref="O237:O239"/>
    <mergeCell ref="P237:P239"/>
    <mergeCell ref="Q237:Q239"/>
    <mergeCell ref="Q231:Q235"/>
    <mergeCell ref="Q228:Q229"/>
    <mergeCell ref="P231:P235"/>
    <mergeCell ref="P220:P221"/>
    <mergeCell ref="Q220:Q221"/>
    <mergeCell ref="H208:H211"/>
    <mergeCell ref="I208:I211"/>
    <mergeCell ref="M228:M229"/>
    <mergeCell ref="N228:N229"/>
    <mergeCell ref="O228:O229"/>
    <mergeCell ref="P228:P229"/>
    <mergeCell ref="I103:I105"/>
    <mergeCell ref="K132:K134"/>
    <mergeCell ref="R277:R279"/>
    <mergeCell ref="A75:A76"/>
    <mergeCell ref="A71:A72"/>
    <mergeCell ref="A73:A74"/>
    <mergeCell ref="A66:A67"/>
    <mergeCell ref="S277:S279"/>
    <mergeCell ref="P277:P279"/>
    <mergeCell ref="F277:F279"/>
    <mergeCell ref="H277:H279"/>
    <mergeCell ref="S237:S239"/>
    <mergeCell ref="L277:L279"/>
    <mergeCell ref="S223:S226"/>
    <mergeCell ref="R231:R235"/>
    <mergeCell ref="R220:R221"/>
    <mergeCell ref="S228:S229"/>
    <mergeCell ref="K228:K229"/>
    <mergeCell ref="L228:L229"/>
    <mergeCell ref="P223:P226"/>
    <mergeCell ref="M223:M226"/>
    <mergeCell ref="A213:A217"/>
    <mergeCell ref="B213:B216"/>
    <mergeCell ref="E213:E216"/>
    <mergeCell ref="F213:F216"/>
    <mergeCell ref="H213:H216"/>
    <mergeCell ref="I136:I138"/>
    <mergeCell ref="I112:I113"/>
    <mergeCell ref="H126:H130"/>
    <mergeCell ref="I132:I134"/>
    <mergeCell ref="H112:H113"/>
    <mergeCell ref="I140:I142"/>
    <mergeCell ref="H140:H142"/>
    <mergeCell ref="H136:H138"/>
    <mergeCell ref="L112:L113"/>
    <mergeCell ref="E144:E150"/>
    <mergeCell ref="F144:F150"/>
    <mergeCell ref="P144:P150"/>
    <mergeCell ref="L140:L142"/>
    <mergeCell ref="S144:S150"/>
    <mergeCell ref="L144:L150"/>
    <mergeCell ref="M144:M150"/>
    <mergeCell ref="N144:N150"/>
    <mergeCell ref="O144:O150"/>
    <mergeCell ref="K140:K142"/>
    <mergeCell ref="H144:H150"/>
    <mergeCell ref="I144:I150"/>
    <mergeCell ref="J144:J150"/>
    <mergeCell ref="K144:K150"/>
  </mergeCells>
  <phoneticPr fontId="0" type="noConversion"/>
  <printOptions horizontalCentered="1"/>
  <pageMargins left="0.25" right="0.25" top="0.25" bottom="0.25" header="0.62" footer="0.25"/>
  <pageSetup paperSize="9" scale="50" orientation="landscape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HeadingPairs>
  <TitlesOfParts>
    <vt:vector size="12" baseType="lpstr">
      <vt:lpstr>PERIODIC</vt:lpstr>
      <vt:lpstr>ROUTINE</vt:lpstr>
      <vt:lpstr>ROUTINE 2011</vt:lpstr>
      <vt:lpstr>ROUTINE 2012</vt:lpstr>
      <vt:lpstr>PERIODIC!Print_Area</vt:lpstr>
      <vt:lpstr>ROUTINE!Print_Area</vt:lpstr>
      <vt:lpstr>'ROUTINE 2011'!Print_Area</vt:lpstr>
      <vt:lpstr>'ROUTINE 2012'!Print_Area</vt:lpstr>
      <vt:lpstr>PERIODIC!Print_Titles</vt:lpstr>
      <vt:lpstr>ROUTINE!Print_Titles</vt:lpstr>
      <vt:lpstr>'ROUTINE 2011'!Print_Titles</vt:lpstr>
      <vt:lpstr>'ROUTINE 2012'!Print_Titles</vt:lpstr>
    </vt:vector>
  </TitlesOfParts>
  <Company>HO DEPARTMENT OF FEEDER ROADS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DFR</dc:creator>
  <cp:lastModifiedBy>USER</cp:lastModifiedBy>
  <cp:lastPrinted>2014-05-15T10:01:10Z</cp:lastPrinted>
  <dcterms:created xsi:type="dcterms:W3CDTF">1999-09-23T15:20:07Z</dcterms:created>
  <dcterms:modified xsi:type="dcterms:W3CDTF">2014-07-07T16:09:55Z</dcterms:modified>
</cp:coreProperties>
</file>